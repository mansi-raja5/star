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xampp\htdocs\work-drive\star\"/>
    </mc:Choice>
  </mc:AlternateContent>
  <xr:revisionPtr revIDLastSave="0" documentId="13_ncr:1_{8D5CFCC1-6942-4C6F-8663-8998F2BACF95}" xr6:coauthVersionLast="47" xr6:coauthVersionMax="47" xr10:uidLastSave="{00000000-0000-0000-0000-000000000000}"/>
  <bookViews>
    <workbookView xWindow="-110" yWindow="-110" windowWidth="19420" windowHeight="10420" tabRatio="670" activeTab="1" xr2:uid="{918A129D-7D29-465D-A948-C46C94656858}"/>
  </bookViews>
  <sheets>
    <sheet name="Filter Dunkin" sheetId="2" r:id="rId1"/>
    <sheet name="Filter Mix" sheetId="7" r:id="rId2"/>
    <sheet name="Crunch Mix" sheetId="10" r:id="rId3"/>
    <sheet name="RnA Dunkin" sheetId="11" r:id="rId4"/>
    <sheet name="Select Date Range" sheetId="5" r:id="rId5"/>
    <sheet name="POS" sheetId="21" r:id="rId6"/>
    <sheet name="Select Date Range-Donut" sheetId="19" r:id="rId7"/>
    <sheet name="Snapshot" sheetId="18" r:id="rId8"/>
    <sheet name="Refund_GC Report" sheetId="23" r:id="rId9"/>
    <sheet name="Store_Close Report" sheetId="22" r:id="rId10"/>
    <sheet name="Notes" sheetId="3" r:id="rId11"/>
    <sheet name="Merge data for store this month" sheetId="25" r:id="rId12"/>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1" i="25" l="1"/>
  <c r="F71" i="25"/>
  <c r="G71" i="25"/>
  <c r="H71" i="25"/>
  <c r="I71" i="25"/>
  <c r="J71" i="25"/>
  <c r="K71" i="25"/>
  <c r="L71" i="25"/>
  <c r="M71" i="25"/>
  <c r="N71" i="25"/>
  <c r="O71" i="25"/>
  <c r="P71" i="25"/>
  <c r="Q71" i="25"/>
  <c r="R71" i="25"/>
  <c r="S71" i="25"/>
  <c r="T71" i="25"/>
  <c r="U71" i="25"/>
  <c r="V71" i="25"/>
  <c r="W71" i="25"/>
  <c r="X71" i="25"/>
  <c r="Y71" i="25"/>
  <c r="Z71" i="25"/>
  <c r="AA71" i="25"/>
  <c r="AB71" i="25"/>
  <c r="AC71" i="25"/>
  <c r="AD71" i="25"/>
  <c r="AE71" i="25"/>
  <c r="AF71" i="25"/>
  <c r="AG71" i="25"/>
  <c r="AH71" i="25"/>
  <c r="AI71" i="25"/>
  <c r="AJ71" i="25"/>
  <c r="AK71" i="25"/>
  <c r="AL71" i="25"/>
  <c r="AM71" i="25"/>
  <c r="AN71" i="25"/>
  <c r="AO71" i="25"/>
  <c r="AP71" i="25"/>
  <c r="AQ71" i="25"/>
  <c r="AR71" i="25"/>
  <c r="AS71" i="25"/>
  <c r="AT71" i="25"/>
  <c r="AU71" i="25"/>
  <c r="AV71" i="25"/>
  <c r="AW71" i="25"/>
  <c r="AX71" i="25"/>
  <c r="AY71" i="25"/>
  <c r="AZ71" i="25"/>
  <c r="BA71" i="25"/>
  <c r="BB71" i="25"/>
  <c r="BC71" i="25"/>
  <c r="BD71" i="25"/>
  <c r="BE71" i="25"/>
  <c r="BF71" i="25"/>
  <c r="BG71" i="25"/>
  <c r="BH71" i="25"/>
  <c r="BI71" i="25"/>
  <c r="BJ71" i="25"/>
  <c r="BK71" i="25"/>
  <c r="BL71" i="25"/>
  <c r="BM71" i="25"/>
  <c r="BN71" i="25"/>
  <c r="BO71" i="25"/>
  <c r="BP71" i="25"/>
  <c r="BQ71" i="25"/>
  <c r="BR71" i="25"/>
  <c r="BS71" i="25"/>
  <c r="BT71" i="25"/>
  <c r="BU71" i="25"/>
  <c r="BV71" i="25"/>
  <c r="BW71" i="25"/>
  <c r="BX71" i="25"/>
  <c r="BY71" i="25"/>
  <c r="BZ71" i="25"/>
  <c r="CA71" i="25"/>
  <c r="CB71" i="25"/>
  <c r="CC71" i="25"/>
  <c r="CD71" i="25"/>
  <c r="CE71" i="25"/>
  <c r="CF71" i="25"/>
  <c r="D71" i="25"/>
  <c r="E67" i="25"/>
  <c r="F67" i="25"/>
  <c r="G67" i="25"/>
  <c r="H67" i="25"/>
  <c r="I67" i="25"/>
  <c r="J67" i="25"/>
  <c r="K67" i="25"/>
  <c r="L67" i="25"/>
  <c r="M67" i="25"/>
  <c r="N67" i="25"/>
  <c r="O67" i="25"/>
  <c r="P67" i="25"/>
  <c r="Q67" i="25"/>
  <c r="R67" i="25"/>
  <c r="S67" i="25"/>
  <c r="T67" i="25"/>
  <c r="U67" i="25"/>
  <c r="V67" i="25"/>
  <c r="W67" i="25"/>
  <c r="X67" i="25"/>
  <c r="Y67" i="25"/>
  <c r="Z67" i="25"/>
  <c r="AA67" i="25"/>
  <c r="AB67" i="25"/>
  <c r="AC67" i="25"/>
  <c r="AD67" i="25"/>
  <c r="AE67" i="25"/>
  <c r="AF67" i="25"/>
  <c r="AG67" i="25"/>
  <c r="AH67" i="25"/>
  <c r="AI67" i="25"/>
  <c r="AJ67" i="25"/>
  <c r="AK67" i="25"/>
  <c r="AL67" i="25"/>
  <c r="AM67" i="25"/>
  <c r="AN67" i="25"/>
  <c r="AO67" i="25"/>
  <c r="AP67" i="25"/>
  <c r="AQ67" i="25"/>
  <c r="AR67" i="25"/>
  <c r="AS67" i="25"/>
  <c r="AT67" i="25"/>
  <c r="AU67" i="25"/>
  <c r="AV67" i="25"/>
  <c r="AW67" i="25"/>
  <c r="AX67" i="25"/>
  <c r="AY67" i="25"/>
  <c r="AZ67" i="25"/>
  <c r="BA67" i="25"/>
  <c r="BB67" i="25"/>
  <c r="BC67" i="25"/>
  <c r="BD67" i="25"/>
  <c r="BE67" i="25"/>
  <c r="BF67" i="25"/>
  <c r="BG67" i="25"/>
  <c r="BH67" i="25"/>
  <c r="BI67" i="25"/>
  <c r="BJ67" i="25"/>
  <c r="BK67" i="25"/>
  <c r="BL67" i="25"/>
  <c r="BM67" i="25"/>
  <c r="BN67" i="25"/>
  <c r="BO67" i="25"/>
  <c r="BP67" i="25"/>
  <c r="BQ67" i="25"/>
  <c r="BR67" i="25"/>
  <c r="BS67" i="25"/>
  <c r="BT67" i="25"/>
  <c r="BU67" i="25"/>
  <c r="BV67" i="25"/>
  <c r="BW67" i="25"/>
  <c r="BX67" i="25"/>
  <c r="BY67" i="25"/>
  <c r="BZ67" i="25"/>
  <c r="CA67" i="25"/>
  <c r="CB67" i="25"/>
  <c r="CC67" i="25"/>
  <c r="CD67" i="25"/>
  <c r="CE67" i="25"/>
  <c r="CF67" i="25"/>
  <c r="D67" i="25"/>
  <c r="E60" i="25"/>
  <c r="F60" i="25"/>
  <c r="G60" i="25"/>
  <c r="H60" i="25"/>
  <c r="I60" i="25"/>
  <c r="J60" i="25"/>
  <c r="K60" i="25"/>
  <c r="L60" i="25"/>
  <c r="M60" i="25"/>
  <c r="N60" i="25"/>
  <c r="O60" i="25"/>
  <c r="P60" i="25"/>
  <c r="Q60" i="25"/>
  <c r="R60" i="25"/>
  <c r="S60" i="25"/>
  <c r="T60" i="25"/>
  <c r="U60" i="25"/>
  <c r="V60" i="25"/>
  <c r="W60" i="25"/>
  <c r="X60" i="25"/>
  <c r="Y60" i="25"/>
  <c r="Z60" i="25"/>
  <c r="AA60" i="25"/>
  <c r="AB60" i="25"/>
  <c r="AC60" i="25"/>
  <c r="AD60" i="25"/>
  <c r="AE60" i="25"/>
  <c r="AF60" i="25"/>
  <c r="AG60" i="25"/>
  <c r="AH60" i="25"/>
  <c r="AI60" i="25"/>
  <c r="AJ60" i="25"/>
  <c r="AK60" i="25"/>
  <c r="AL60" i="25"/>
  <c r="AM60" i="25"/>
  <c r="AN60" i="25"/>
  <c r="AO60" i="25"/>
  <c r="AP60" i="25"/>
  <c r="AQ60" i="25"/>
  <c r="AR60" i="25"/>
  <c r="AS60" i="25"/>
  <c r="AT60" i="25"/>
  <c r="AU60" i="25"/>
  <c r="AV60" i="25"/>
  <c r="AW60" i="25"/>
  <c r="AX60" i="25"/>
  <c r="AY60" i="25"/>
  <c r="AZ60" i="25"/>
  <c r="BA60" i="25"/>
  <c r="BB60" i="25"/>
  <c r="BC60" i="25"/>
  <c r="BD60" i="25"/>
  <c r="BE60" i="25"/>
  <c r="BF60" i="25"/>
  <c r="BG60" i="25"/>
  <c r="BH60" i="25"/>
  <c r="BI60" i="25"/>
  <c r="BJ60" i="25"/>
  <c r="BK60" i="25"/>
  <c r="BL60" i="25"/>
  <c r="BM60" i="25"/>
  <c r="BN60" i="25"/>
  <c r="BO60" i="25"/>
  <c r="BP60" i="25"/>
  <c r="BQ60" i="25"/>
  <c r="BR60" i="25"/>
  <c r="BS60" i="25"/>
  <c r="BT60" i="25"/>
  <c r="BU60" i="25"/>
  <c r="BV60" i="25"/>
  <c r="BW60" i="25"/>
  <c r="BX60" i="25"/>
  <c r="BY60" i="25"/>
  <c r="BZ60" i="25"/>
  <c r="CA60" i="25"/>
  <c r="CB60" i="25"/>
  <c r="CC60" i="25"/>
  <c r="CD60" i="25"/>
  <c r="CE60" i="25"/>
  <c r="CF60" i="25"/>
  <c r="D60" i="25"/>
  <c r="E56" i="25"/>
  <c r="F56" i="25"/>
  <c r="G56" i="25"/>
  <c r="H56" i="25"/>
  <c r="I56" i="25"/>
  <c r="J56" i="25"/>
  <c r="K56" i="25"/>
  <c r="L56" i="25"/>
  <c r="M56" i="25"/>
  <c r="N56" i="25"/>
  <c r="O56" i="25"/>
  <c r="P56" i="25"/>
  <c r="Q56" i="25"/>
  <c r="R56" i="25"/>
  <c r="S56" i="25"/>
  <c r="T56" i="25"/>
  <c r="U56" i="25"/>
  <c r="V56" i="25"/>
  <c r="W56" i="25"/>
  <c r="X56" i="25"/>
  <c r="Y56" i="25"/>
  <c r="Z56" i="25"/>
  <c r="AA56" i="25"/>
  <c r="AB56" i="25"/>
  <c r="AC56" i="25"/>
  <c r="AD56" i="25"/>
  <c r="AE56" i="25"/>
  <c r="AF56" i="25"/>
  <c r="AG56" i="25"/>
  <c r="AH56" i="25"/>
  <c r="AI56" i="25"/>
  <c r="AJ56" i="25"/>
  <c r="AK56" i="25"/>
  <c r="AL56" i="25"/>
  <c r="AM56" i="25"/>
  <c r="AN56" i="25"/>
  <c r="AO56" i="25"/>
  <c r="AP56" i="25"/>
  <c r="AQ56" i="25"/>
  <c r="AR56" i="25"/>
  <c r="AS56" i="25"/>
  <c r="AT56" i="25"/>
  <c r="AU56" i="25"/>
  <c r="AV56" i="25"/>
  <c r="AW56" i="25"/>
  <c r="AX56" i="25"/>
  <c r="AY56" i="25"/>
  <c r="AZ56" i="25"/>
  <c r="BA56" i="25"/>
  <c r="BB56" i="25"/>
  <c r="BC56" i="25"/>
  <c r="BD56" i="25"/>
  <c r="BE56" i="25"/>
  <c r="BF56" i="25"/>
  <c r="BG56" i="25"/>
  <c r="BH56" i="25"/>
  <c r="BI56" i="25"/>
  <c r="BJ56" i="25"/>
  <c r="BK56" i="25"/>
  <c r="BL56" i="25"/>
  <c r="BM56" i="25"/>
  <c r="BN56" i="25"/>
  <c r="BO56" i="25"/>
  <c r="BP56" i="25"/>
  <c r="BQ56" i="25"/>
  <c r="BR56" i="25"/>
  <c r="BS56" i="25"/>
  <c r="BT56" i="25"/>
  <c r="BU56" i="25"/>
  <c r="BV56" i="25"/>
  <c r="BW56" i="25"/>
  <c r="BX56" i="25"/>
  <c r="BY56" i="25"/>
  <c r="BZ56" i="25"/>
  <c r="CA56" i="25"/>
  <c r="CB56" i="25"/>
  <c r="CC56" i="25"/>
  <c r="CD56" i="25"/>
  <c r="CE56" i="25"/>
  <c r="CF56" i="25"/>
  <c r="D56" i="25"/>
  <c r="E44" i="25"/>
  <c r="F44" i="25"/>
  <c r="G44" i="25"/>
  <c r="H44" i="25"/>
  <c r="I44" i="25"/>
  <c r="J44" i="25"/>
  <c r="K44" i="25"/>
  <c r="L44" i="25"/>
  <c r="M44" i="25"/>
  <c r="N44" i="25"/>
  <c r="O44" i="25"/>
  <c r="P44" i="25"/>
  <c r="Q44" i="25"/>
  <c r="R44" i="25"/>
  <c r="S44" i="25"/>
  <c r="T44" i="25"/>
  <c r="U44" i="25"/>
  <c r="V44" i="25"/>
  <c r="W44" i="25"/>
  <c r="X44" i="25"/>
  <c r="Y44" i="25"/>
  <c r="Z44" i="25"/>
  <c r="AA44" i="25"/>
  <c r="AB44" i="25"/>
  <c r="AC44" i="25"/>
  <c r="AD44" i="25"/>
  <c r="AE44" i="25"/>
  <c r="AF44" i="25"/>
  <c r="AG44" i="25"/>
  <c r="AH44" i="25"/>
  <c r="AI44" i="25"/>
  <c r="AJ44" i="25"/>
  <c r="AK44" i="25"/>
  <c r="AL44" i="25"/>
  <c r="AM44" i="25"/>
  <c r="AN44" i="25"/>
  <c r="AO44" i="25"/>
  <c r="AP44" i="25"/>
  <c r="AQ44" i="25"/>
  <c r="AR44" i="25"/>
  <c r="AS44" i="25"/>
  <c r="AT44" i="25"/>
  <c r="AU44" i="25"/>
  <c r="AV44" i="25"/>
  <c r="AW44" i="25"/>
  <c r="AX44" i="25"/>
  <c r="AY44" i="25"/>
  <c r="AZ44" i="25"/>
  <c r="BA44" i="25"/>
  <c r="BB44" i="25"/>
  <c r="BC44" i="25"/>
  <c r="BD44" i="25"/>
  <c r="BE44" i="25"/>
  <c r="BF44" i="25"/>
  <c r="BG44" i="25"/>
  <c r="BH44" i="25"/>
  <c r="BI44" i="25"/>
  <c r="BJ44" i="25"/>
  <c r="BK44" i="25"/>
  <c r="BL44" i="25"/>
  <c r="BM44" i="25"/>
  <c r="BN44" i="25"/>
  <c r="BO44" i="25"/>
  <c r="BP44" i="25"/>
  <c r="BQ44" i="25"/>
  <c r="BR44" i="25"/>
  <c r="BS44" i="25"/>
  <c r="BT44" i="25"/>
  <c r="BU44" i="25"/>
  <c r="BV44" i="25"/>
  <c r="BW44" i="25"/>
  <c r="BX44" i="25"/>
  <c r="BY44" i="25"/>
  <c r="BZ44" i="25"/>
  <c r="CA44" i="25"/>
  <c r="CB44" i="25"/>
  <c r="CC44" i="25"/>
  <c r="CD44" i="25"/>
  <c r="CE44" i="25"/>
  <c r="CF44" i="25"/>
  <c r="D44" i="25"/>
  <c r="E29" i="25"/>
  <c r="F29" i="25"/>
  <c r="G29" i="25"/>
  <c r="H29" i="25"/>
  <c r="I29" i="25"/>
  <c r="J29" i="25"/>
  <c r="K29" i="25"/>
  <c r="L29" i="25"/>
  <c r="M29" i="25"/>
  <c r="N29" i="25"/>
  <c r="O29" i="25"/>
  <c r="P29" i="25"/>
  <c r="Q29" i="25"/>
  <c r="R29" i="25"/>
  <c r="S29" i="25"/>
  <c r="T29" i="25"/>
  <c r="U29" i="25"/>
  <c r="V29" i="25"/>
  <c r="W29" i="25"/>
  <c r="X29" i="25"/>
  <c r="Y29" i="25"/>
  <c r="Z29" i="25"/>
  <c r="AA29" i="25"/>
  <c r="AB29" i="25"/>
  <c r="AC29" i="25"/>
  <c r="AD29" i="25"/>
  <c r="AE29" i="25"/>
  <c r="AF29" i="25"/>
  <c r="AG29" i="25"/>
  <c r="AH29" i="25"/>
  <c r="AI29" i="25"/>
  <c r="AJ29" i="25"/>
  <c r="AK29" i="25"/>
  <c r="AL29" i="25"/>
  <c r="AM29" i="25"/>
  <c r="AN29" i="25"/>
  <c r="AO29" i="25"/>
  <c r="AP29" i="25"/>
  <c r="AQ29" i="25"/>
  <c r="AR29" i="25"/>
  <c r="AS29" i="25"/>
  <c r="AT29" i="25"/>
  <c r="AU29" i="25"/>
  <c r="AV29" i="25"/>
  <c r="AW29" i="25"/>
  <c r="AX29" i="25"/>
  <c r="AY29" i="25"/>
  <c r="AZ29" i="25"/>
  <c r="BA29" i="25"/>
  <c r="BB29" i="25"/>
  <c r="BC29" i="25"/>
  <c r="BD29" i="25"/>
  <c r="BE29" i="25"/>
  <c r="BF29" i="25"/>
  <c r="BG29" i="25"/>
  <c r="BH29" i="25"/>
  <c r="BI29" i="25"/>
  <c r="BJ29" i="25"/>
  <c r="BK29" i="25"/>
  <c r="BL29" i="25"/>
  <c r="BM29" i="25"/>
  <c r="BN29" i="25"/>
  <c r="BO29" i="25"/>
  <c r="BP29" i="25"/>
  <c r="BQ29" i="25"/>
  <c r="BR29" i="25"/>
  <c r="BS29" i="25"/>
  <c r="BT29" i="25"/>
  <c r="BU29" i="25"/>
  <c r="BV29" i="25"/>
  <c r="BW29" i="25"/>
  <c r="BX29" i="25"/>
  <c r="BY29" i="25"/>
  <c r="BZ29" i="25"/>
  <c r="CA29" i="25"/>
  <c r="CB29" i="25"/>
  <c r="CC29" i="25"/>
  <c r="CD29" i="25"/>
  <c r="CE29" i="25"/>
  <c r="CF29" i="25"/>
  <c r="D29" i="25"/>
  <c r="E28" i="25"/>
  <c r="F28" i="25"/>
  <c r="G28" i="25"/>
  <c r="H28" i="25"/>
  <c r="I28" i="25"/>
  <c r="J28" i="25"/>
  <c r="K28" i="25"/>
  <c r="L28" i="25"/>
  <c r="M28" i="25"/>
  <c r="N28" i="25"/>
  <c r="O28" i="25"/>
  <c r="P28" i="25"/>
  <c r="Q28" i="25"/>
  <c r="R28" i="25"/>
  <c r="S28" i="25"/>
  <c r="T28" i="25"/>
  <c r="U28" i="25"/>
  <c r="V28" i="25"/>
  <c r="W28" i="25"/>
  <c r="X28" i="25"/>
  <c r="Y28" i="25"/>
  <c r="Z28" i="25"/>
  <c r="AA28" i="25"/>
  <c r="AB28" i="25"/>
  <c r="AC28" i="25"/>
  <c r="AD28" i="25"/>
  <c r="AE28" i="25"/>
  <c r="AF28" i="25"/>
  <c r="AG28" i="25"/>
  <c r="AH28" i="25"/>
  <c r="AI28" i="25"/>
  <c r="AJ28" i="25"/>
  <c r="AK28" i="25"/>
  <c r="AL28" i="25"/>
  <c r="AM28" i="25"/>
  <c r="AN28" i="25"/>
  <c r="AO28" i="25"/>
  <c r="AP28" i="25"/>
  <c r="AQ28" i="25"/>
  <c r="AR28" i="25"/>
  <c r="AS28" i="25"/>
  <c r="AT28" i="25"/>
  <c r="AU28" i="25"/>
  <c r="AV28" i="25"/>
  <c r="AW28" i="25"/>
  <c r="AX28" i="25"/>
  <c r="AY28" i="25"/>
  <c r="AZ28" i="25"/>
  <c r="BA28" i="25"/>
  <c r="BB28" i="25"/>
  <c r="BC28" i="25"/>
  <c r="BD28" i="25"/>
  <c r="BE28" i="25"/>
  <c r="BF28" i="25"/>
  <c r="BG28" i="25"/>
  <c r="BH28" i="25"/>
  <c r="BI28" i="25"/>
  <c r="BJ28" i="25"/>
  <c r="BK28" i="25"/>
  <c r="BL28" i="25"/>
  <c r="BM28" i="25"/>
  <c r="BN28" i="25"/>
  <c r="BO28" i="25"/>
  <c r="BP28" i="25"/>
  <c r="BQ28" i="25"/>
  <c r="BR28" i="25"/>
  <c r="BS28" i="25"/>
  <c r="BT28" i="25"/>
  <c r="BU28" i="25"/>
  <c r="BV28" i="25"/>
  <c r="BW28" i="25"/>
  <c r="BX28" i="25"/>
  <c r="BY28" i="25"/>
  <c r="BZ28" i="25"/>
  <c r="CA28" i="25"/>
  <c r="CB28" i="25"/>
  <c r="CC28" i="25"/>
  <c r="CD28" i="25"/>
  <c r="CE28" i="25"/>
  <c r="CF28" i="25"/>
  <c r="D28" i="25"/>
  <c r="D6" i="25"/>
  <c r="E6" i="25"/>
  <c r="F6" i="25"/>
  <c r="G6" i="25"/>
  <c r="H6" i="25"/>
  <c r="I6" i="25"/>
  <c r="J6" i="25"/>
  <c r="K6" i="25"/>
  <c r="L6" i="25"/>
  <c r="M6" i="25"/>
  <c r="N6" i="25"/>
  <c r="O6" i="25"/>
  <c r="P6" i="25"/>
  <c r="Q6" i="25"/>
  <c r="R6" i="25"/>
  <c r="S6" i="25"/>
  <c r="T6" i="25"/>
  <c r="U6" i="25"/>
  <c r="V6" i="25"/>
  <c r="W6" i="25"/>
  <c r="X6" i="25"/>
  <c r="Y6" i="25"/>
  <c r="Z6" i="25"/>
  <c r="AA6" i="25"/>
  <c r="AB6" i="25"/>
  <c r="AC6" i="25"/>
  <c r="AD6" i="25"/>
  <c r="AE6" i="25"/>
  <c r="AF6" i="25"/>
  <c r="AG6" i="25"/>
  <c r="AH6" i="25"/>
  <c r="AI6" i="25"/>
  <c r="AJ6" i="25"/>
  <c r="AK6" i="25"/>
  <c r="AL6" i="25"/>
  <c r="AM6" i="25"/>
  <c r="AN6" i="25"/>
  <c r="AO6" i="25"/>
  <c r="AP6" i="25"/>
  <c r="AQ6" i="25"/>
  <c r="AR6" i="25"/>
  <c r="AS6" i="25"/>
  <c r="AT6" i="25"/>
  <c r="AU6" i="25"/>
  <c r="AV6" i="25"/>
  <c r="AW6" i="25"/>
  <c r="AX6" i="25"/>
  <c r="AY6" i="25"/>
  <c r="AZ6" i="25"/>
  <c r="BA6" i="25"/>
  <c r="BB6" i="25"/>
  <c r="BC6" i="25"/>
  <c r="BD6" i="25"/>
  <c r="BE6" i="25"/>
  <c r="BF6" i="25"/>
  <c r="BG6" i="25"/>
  <c r="BH6" i="25"/>
  <c r="BI6" i="25"/>
  <c r="BJ6" i="25"/>
  <c r="BK6" i="25"/>
  <c r="BL6" i="25"/>
  <c r="BM6" i="25"/>
  <c r="BN6" i="25"/>
  <c r="BO6" i="25"/>
  <c r="BP6" i="25"/>
  <c r="BQ6" i="25"/>
  <c r="BR6" i="25"/>
  <c r="BS6" i="25"/>
  <c r="BT6" i="25"/>
  <c r="BU6" i="25"/>
  <c r="BV6" i="25"/>
  <c r="BW6" i="25"/>
  <c r="BX6" i="25"/>
  <c r="BY6" i="25"/>
  <c r="BZ6" i="25"/>
  <c r="CA6" i="25"/>
  <c r="CB6" i="25"/>
  <c r="CC6" i="25"/>
  <c r="CD6" i="25"/>
  <c r="CE6" i="25"/>
  <c r="CF6"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AE7" i="25"/>
  <c r="AF7" i="25"/>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alcChain>
</file>

<file path=xl/sharedStrings.xml><?xml version="1.0" encoding="utf-8"?>
<sst xmlns="http://schemas.openxmlformats.org/spreadsheetml/2006/main" count="254" uniqueCount="146">
  <si>
    <t>D-Espresso Subtotal Qty</t>
  </si>
  <si>
    <t>D-Espresso Subtotal</t>
  </si>
  <si>
    <t>D-Beverage Subtotal</t>
  </si>
  <si>
    <t>D-Donuts Subtotal</t>
  </si>
  <si>
    <t>D-Sandwich Subtotal</t>
  </si>
  <si>
    <t>D-Bagel &amp; CC Subtotal</t>
  </si>
  <si>
    <t>BR-Retail Gross Sales</t>
  </si>
  <si>
    <t>DD-Retail Gross Sales</t>
  </si>
  <si>
    <t>Refunds (-) Qty</t>
  </si>
  <si>
    <t>Refunds (-) Amount</t>
  </si>
  <si>
    <t>Discounts (-) Qty</t>
  </si>
  <si>
    <t>Discounts (-) Amount</t>
  </si>
  <si>
    <t>Coupons (-) Qty</t>
  </si>
  <si>
    <t>Coupons (-) Amount</t>
  </si>
  <si>
    <t>Gift Card Sales Qty</t>
  </si>
  <si>
    <t>Gift Card Sales Amount</t>
  </si>
  <si>
    <t>No Sale Transactions Qty</t>
  </si>
  <si>
    <t>No Sale Transactions Amount</t>
  </si>
  <si>
    <t>Item Deletions Before Total Qty</t>
  </si>
  <si>
    <t>Item Deletions Before Total Amount</t>
  </si>
  <si>
    <t>Item Deletions After Total Qty</t>
  </si>
  <si>
    <t>Item Deletions After Total Amount</t>
  </si>
  <si>
    <t>Cancelled Transactions Qty</t>
  </si>
  <si>
    <t>Cancelled Transactions Amount</t>
  </si>
  <si>
    <t>Tracked Fee Exempt Net Sales</t>
  </si>
  <si>
    <t>Paid Ins (+)</t>
  </si>
  <si>
    <t>Gift Certificate Sales</t>
  </si>
  <si>
    <t>Sales Tax (+)</t>
  </si>
  <si>
    <t>Sales Tax (+) Percentage</t>
  </si>
  <si>
    <t>Taxable Sales</t>
  </si>
  <si>
    <t>Non Taxable Sales</t>
  </si>
  <si>
    <t>Over / Short</t>
  </si>
  <si>
    <t>MasterCard Qty</t>
  </si>
  <si>
    <t>MasterCard Amount</t>
  </si>
  <si>
    <t>Visa Qty</t>
  </si>
  <si>
    <t>Visa Amount</t>
  </si>
  <si>
    <t>American Express Qty</t>
  </si>
  <si>
    <t>American Express Amount</t>
  </si>
  <si>
    <t>Discover (NOVIS) Qty</t>
  </si>
  <si>
    <t>Discover (NOVIS) Amount</t>
  </si>
  <si>
    <t>Delivery:Grubhub Qty</t>
  </si>
  <si>
    <t>Delivery:Grubhub Amount</t>
  </si>
  <si>
    <t>External Amex Qty</t>
  </si>
  <si>
    <t>External Amex Amount</t>
  </si>
  <si>
    <t>External Gift Card Qty</t>
  </si>
  <si>
    <t>External Gift Card Amount</t>
  </si>
  <si>
    <t>External Mastercard Qty</t>
  </si>
  <si>
    <t>External Mastercard Amount</t>
  </si>
  <si>
    <t>External Order Qty</t>
  </si>
  <si>
    <t>External Order Amount</t>
  </si>
  <si>
    <t>External Visa Qty</t>
  </si>
  <si>
    <t>External Visa  Amount</t>
  </si>
  <si>
    <t xml:space="preserve">Store Number </t>
  </si>
  <si>
    <t>Start Business Date</t>
  </si>
  <si>
    <t>End Business Date</t>
  </si>
  <si>
    <t>DD-Retail Net Sales</t>
  </si>
  <si>
    <t>BR-Retail Net Sales</t>
  </si>
  <si>
    <t>Trans Count Qty</t>
  </si>
  <si>
    <t>Net AutoDetect Disc. (-) Amount</t>
  </si>
  <si>
    <t>Charity Net Sales</t>
  </si>
  <si>
    <t>Deposit Total (+)</t>
  </si>
  <si>
    <t>Paid Out (-)</t>
  </si>
  <si>
    <t>Gift Card Amount</t>
  </si>
  <si>
    <t>Gift Card Qty</t>
  </si>
  <si>
    <t>External Discover (NOVIS) Qty</t>
  </si>
  <si>
    <t>External Discover (NOVIS) Amount</t>
  </si>
  <si>
    <t>Delivery:Grubhub Net Sales</t>
  </si>
  <si>
    <t>Delivery:Uber Eats Qty</t>
  </si>
  <si>
    <t>Delivery:Uber Eats Amount</t>
  </si>
  <si>
    <t>Delivery:Uber Eats Net Sales</t>
  </si>
  <si>
    <t>TotalCrunchMenuMix</t>
  </si>
  <si>
    <t>OTGO Tender</t>
  </si>
  <si>
    <t>OTGO Tender qty</t>
  </si>
  <si>
    <t>Outstanding</t>
  </si>
  <si>
    <t>Month Start Date</t>
  </si>
  <si>
    <t>PC #</t>
  </si>
  <si>
    <r>
      <rPr>
        <b/>
        <sz val="11"/>
        <color theme="1"/>
        <rFont val="Calibri"/>
        <family val="2"/>
        <scheme val="minor"/>
      </rPr>
      <t>NOTE</t>
    </r>
    <r>
      <rPr>
        <sz val="11"/>
        <color theme="1"/>
        <rFont val="Calibri"/>
        <family val="2"/>
        <scheme val="minor"/>
      </rPr>
      <t xml:space="preserve"> : Keep Master POS &amp; Monthly Sheet Open</t>
    </r>
  </si>
  <si>
    <t>Carried Over</t>
  </si>
  <si>
    <t>Misc. O/S Description</t>
  </si>
  <si>
    <t>Misc O/S Amt</t>
  </si>
  <si>
    <t>Islock</t>
  </si>
  <si>
    <t>Enter Date range to stop import for that Specified date Range:</t>
  </si>
  <si>
    <t>from Monthly sheet</t>
  </si>
  <si>
    <t>Enter Date for Month and year selection for 1st 4 sheets.</t>
  </si>
  <si>
    <t>DoorDash Tender</t>
  </si>
  <si>
    <t>DoorDash Tender Qty</t>
  </si>
  <si>
    <t>Delivery</t>
  </si>
  <si>
    <t>Delivery Qty</t>
  </si>
  <si>
    <t>WE Date</t>
  </si>
  <si>
    <t>End Date</t>
  </si>
  <si>
    <t>Start Date</t>
  </si>
  <si>
    <t xml:space="preserve">Note: Above date Range setting is NOT for Order and Multi Sheet. </t>
  </si>
  <si>
    <t>ALL</t>
  </si>
  <si>
    <t>Enter Monthly Sheet file Location in A7 and Monthly Report filename in A8</t>
  </si>
  <si>
    <t>Enter Snapshot file Location below</t>
  </si>
  <si>
    <t xml:space="preserve">Enter Donut file Location below </t>
  </si>
  <si>
    <t xml:space="preserve">Enter Snapshot file Location below </t>
  </si>
  <si>
    <t>Enter Sales Comparison file Location below to send Previous year DDBR data from  Sales comp sheet to snapshot</t>
  </si>
  <si>
    <t>Enter Sales Comparison file Location below to send current year DDBR data from POS to Sales comp sheet</t>
  </si>
  <si>
    <t xml:space="preserve"> </t>
  </si>
  <si>
    <t>#12BARK Coffee Cup Dog Toy</t>
  </si>
  <si>
    <t>Gift Card Sales</t>
  </si>
  <si>
    <t>Date of Report</t>
  </si>
  <si>
    <t>Refund</t>
  </si>
  <si>
    <t>Store</t>
  </si>
  <si>
    <t>Store not closed from</t>
  </si>
  <si>
    <t>Date</t>
  </si>
  <si>
    <t>Entry Date (24hrs EST)</t>
  </si>
  <si>
    <t>select Day Diff from current date</t>
  </si>
  <si>
    <t>Online Order Tender</t>
  </si>
  <si>
    <t>Online Order Tender  Qty</t>
  </si>
  <si>
    <t>properties -&gt;categorized&gt; enabled true</t>
  </si>
  <si>
    <t>Closed</t>
  </si>
  <si>
    <t>E:\CHUNARA\2021\Zain DDBR Sales Comparison 2020-2021.xls</t>
  </si>
  <si>
    <t>352613-radi+rna</t>
  </si>
  <si>
    <t>Cru n RnA-352613</t>
  </si>
  <si>
    <t>Closed r--352613</t>
  </si>
  <si>
    <t>closed r---352613</t>
  </si>
  <si>
    <t>E:\CHUNARA\2021\Donut Count 2021.xlsx</t>
  </si>
  <si>
    <t>Closed-352613</t>
  </si>
  <si>
    <t>E:\CHUNARA\2021\8.  357150\Monthly Sheets\1. January.xlsx</t>
  </si>
  <si>
    <t>E:\CHUNARA\2021\2.  350437\Monthly Sheets\1. January.xlsx</t>
  </si>
  <si>
    <t>E:\CHUNARA\2021\3.  351323\Monthly Sheets\1. January.xlsx</t>
  </si>
  <si>
    <t>E:\CHUNARA\2021\4.  352613\Monthly Sheets\1. January.xlsx</t>
  </si>
  <si>
    <t>E:\CHUNARA\2021\6.  354030\Monthly Sheets\1. January.xlsx</t>
  </si>
  <si>
    <t>E:\CHUNARA\2021\7.  355439\Monthly Sheets\1. January.xlsx</t>
  </si>
  <si>
    <t>E:\CHUNARA\2021\9. 358682\Monthly Sheets\1. January.xlsx</t>
  </si>
  <si>
    <t>E:\CHUNARA\2021\10. 359606\Monthly Sheets\1. January.xlsx</t>
  </si>
  <si>
    <t>OTGO Tender Amount</t>
  </si>
  <si>
    <t>DoorDash Tender Amount</t>
  </si>
  <si>
    <t>Delivery Amount</t>
  </si>
  <si>
    <t>Online Order Tender Qty</t>
  </si>
  <si>
    <t>Online Order Tender Amount</t>
  </si>
  <si>
    <t>D:\Google Drive-Mike\0. January\Snapshot WE 01-30-2021.xlsx</t>
  </si>
  <si>
    <t>355439-RnA</t>
  </si>
  <si>
    <t>355439-Rad</t>
  </si>
  <si>
    <t>355439-rad</t>
  </si>
  <si>
    <t>355439-rnA</t>
  </si>
  <si>
    <t>without sale tax consideration- this value is in snapshot</t>
  </si>
  <si>
    <t>355439-rna</t>
  </si>
  <si>
    <t>with sale tax consideration- this value is in monthly sheet</t>
  </si>
  <si>
    <t>D:\Google Drive-Mike\RJ_NC_PC\AUTO EXCEL\Monthly Report\Monthly Report_01-01-2021.xlsm</t>
  </si>
  <si>
    <t>Mansi Raja Qty</t>
  </si>
  <si>
    <t>Mansi Raja Amount</t>
  </si>
  <si>
    <t>fg</t>
  </si>
  <si>
    <t>Mansi Raja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</si>
</sst>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43" formatCode="_(* #,##0.00_);_(* \(#,##0.00\);_(* &quot;-&quot;??_);_(@_)"/>
    <numFmt numFmtId="164" formatCode="mm/dd/yy;@"/>
  </numFmts>
  <fonts count="26" x14ac:knownFonts="1">
    <font>
      <sz val="11"/>
      <color theme="1"/>
      <name val="Calibri"/>
      <family val="2"/>
      <scheme val="minor"/>
    </font>
    <font>
      <b/>
      <sz val="11"/>
      <color theme="0"/>
      <name val="Calibri"/>
      <family val="2"/>
      <scheme val="minor"/>
    </font>
    <font>
      <b/>
      <sz val="11"/>
      <color theme="1"/>
      <name val="Calibri"/>
      <family val="2"/>
      <scheme val="minor"/>
    </font>
    <font>
      <b/>
      <sz val="10"/>
      <name val="Arial"/>
      <family val="2"/>
    </font>
    <font>
      <sz val="11"/>
      <color indexed="8"/>
      <name val="Calibri"/>
      <family val="2"/>
      <scheme val="minor"/>
    </font>
    <font>
      <sz val="16"/>
      <color rgb="FF00FF00"/>
      <name val="Helvetica"/>
    </font>
    <font>
      <sz val="16"/>
      <color theme="4"/>
      <name val="Helvetica"/>
    </font>
    <font>
      <sz val="16"/>
      <color theme="1"/>
      <name val="Calibri"/>
      <family val="2"/>
      <scheme val="minor"/>
    </font>
    <font>
      <b/>
      <sz val="10"/>
      <color rgb="FF000000"/>
      <name val="Helvetica"/>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s>
  <fills count="40">
    <fill>
      <patternFill patternType="none"/>
    </fill>
    <fill>
      <patternFill patternType="gray125"/>
    </fill>
    <fill>
      <patternFill patternType="solid">
        <fgColor rgb="FFFFC000"/>
        <bgColor indexed="64"/>
      </patternFill>
    </fill>
    <fill>
      <patternFill patternType="solid">
        <fgColor theme="4"/>
        <bgColor theme="4"/>
      </patternFill>
    </fill>
    <fill>
      <patternFill patternType="solid">
        <fgColor rgb="FF92D050"/>
        <bgColor indexed="64"/>
      </patternFill>
    </fill>
    <fill>
      <patternFill patternType="solid">
        <fgColor rgb="FF00FFFF"/>
        <bgColor indexed="64"/>
      </patternFill>
    </fill>
    <fill>
      <patternFill patternType="solid">
        <fgColor rgb="FF6F621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31">
    <border>
      <left/>
      <right/>
      <top/>
      <bottom/>
      <diagonal/>
    </border>
    <border>
      <left style="medium">
        <color rgb="FF00B050"/>
      </left>
      <right style="medium">
        <color rgb="FF00B050"/>
      </right>
      <top style="medium">
        <color rgb="FF00B050"/>
      </top>
      <bottom style="medium">
        <color rgb="FF00B050"/>
      </bottom>
      <diagonal/>
    </border>
    <border>
      <left/>
      <right/>
      <top style="thick">
        <color indexed="64"/>
      </top>
      <bottom/>
      <diagonal/>
    </border>
    <border>
      <left/>
      <right/>
      <top style="thick">
        <color rgb="FFFFC000"/>
      </top>
      <bottom/>
      <diagonal/>
    </border>
    <border>
      <left style="thick">
        <color rgb="FFFFC000"/>
      </left>
      <right style="thick">
        <color rgb="FFFFC000"/>
      </right>
      <top style="thick">
        <color rgb="FFFFC000"/>
      </top>
      <bottom style="thick">
        <color rgb="FFFFC000"/>
      </bottom>
      <diagonal/>
    </border>
    <border>
      <left style="thick">
        <color indexed="64"/>
      </left>
      <right/>
      <top style="thick">
        <color indexed="64"/>
      </top>
      <bottom style="thick">
        <color indexed="64"/>
      </bottom>
      <diagonal/>
    </border>
    <border>
      <left style="thin">
        <color theme="4" tint="0.39997558519241921"/>
      </left>
      <right/>
      <top/>
      <bottom/>
      <diagonal/>
    </border>
    <border>
      <left/>
      <right style="thin">
        <color theme="4" tint="0.39997558519241921"/>
      </right>
      <top/>
      <bottom/>
      <diagonal/>
    </border>
    <border>
      <left style="thick">
        <color indexed="64"/>
      </left>
      <right style="thick">
        <color indexed="64"/>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C000"/>
      </left>
      <right/>
      <top style="medium">
        <color rgb="FFFFC000"/>
      </top>
      <bottom/>
      <diagonal/>
    </border>
    <border>
      <left style="medium">
        <color rgb="FFFFC000"/>
      </left>
      <right/>
      <top/>
      <bottom style="medium">
        <color rgb="FFFFC000"/>
      </bottom>
      <diagonal/>
    </border>
    <border>
      <left style="medium">
        <color theme="8" tint="-0.249977111117893"/>
      </left>
      <right style="medium">
        <color theme="8" tint="-0.249977111117893"/>
      </right>
      <top style="medium">
        <color theme="8" tint="-0.249977111117893"/>
      </top>
      <bottom/>
      <diagonal/>
    </border>
    <border>
      <left style="medium">
        <color rgb="FF00FFFF"/>
      </left>
      <right/>
      <top style="medium">
        <color rgb="FF00FFFF"/>
      </top>
      <bottom/>
      <diagonal/>
    </border>
    <border>
      <left/>
      <right style="medium">
        <color rgb="FF00FFFF"/>
      </right>
      <top style="medium">
        <color rgb="FF00FFFF"/>
      </top>
      <bottom/>
      <diagonal/>
    </border>
    <border>
      <left style="medium">
        <color rgb="FF00FFFF"/>
      </left>
      <right/>
      <top/>
      <bottom style="medium">
        <color rgb="FF00FFFF"/>
      </bottom>
      <diagonal/>
    </border>
    <border>
      <left style="medium">
        <color theme="5" tint="-0.249977111117893"/>
      </left>
      <right style="medium">
        <color theme="5" tint="-0.249977111117893"/>
      </right>
      <top style="medium">
        <color theme="5" tint="-0.249977111117893"/>
      </top>
      <bottom/>
      <diagonal/>
    </border>
    <border>
      <left style="thin">
        <color theme="4" tint="0.39997558519241921"/>
      </left>
      <right/>
      <top style="thin">
        <color rgb="FF8EA9DB"/>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rgb="FF8EA9DB"/>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4" fillId="0" borderId="0"/>
    <xf numFmtId="0" fontId="11" fillId="0" borderId="0" applyNumberFormat="0" applyFill="0" applyBorder="0" applyAlignment="0" applyProtection="0"/>
    <xf numFmtId="0" fontId="12" fillId="0" borderId="9" applyNumberFormat="0" applyFill="0" applyAlignment="0" applyProtection="0"/>
    <xf numFmtId="0" fontId="13" fillId="0" borderId="10" applyNumberFormat="0" applyFill="0" applyAlignment="0" applyProtection="0"/>
    <xf numFmtId="0" fontId="14" fillId="0" borderId="11" applyNumberFormat="0" applyFill="0" applyAlignment="0" applyProtection="0"/>
    <xf numFmtId="0" fontId="14" fillId="0" borderId="0" applyNumberForma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2" applyNumberFormat="0" applyAlignment="0" applyProtection="0"/>
    <xf numFmtId="0" fontId="19" fillId="12" borderId="13" applyNumberFormat="0" applyAlignment="0" applyProtection="0"/>
    <xf numFmtId="0" fontId="20" fillId="12" borderId="12" applyNumberFormat="0" applyAlignment="0" applyProtection="0"/>
    <xf numFmtId="0" fontId="21" fillId="0" borderId="14" applyNumberFormat="0" applyFill="0" applyAlignment="0" applyProtection="0"/>
    <xf numFmtId="0" fontId="1" fillId="13" borderId="15" applyNumberFormat="0" applyAlignment="0" applyProtection="0"/>
    <xf numFmtId="0" fontId="22" fillId="0" borderId="0" applyNumberFormat="0" applyFill="0" applyBorder="0" applyAlignment="0" applyProtection="0"/>
    <xf numFmtId="0" fontId="10" fillId="14" borderId="16" applyNumberFormat="0" applyFont="0" applyAlignment="0" applyProtection="0"/>
    <xf numFmtId="0" fontId="23" fillId="0" borderId="0" applyNumberFormat="0" applyFill="0" applyBorder="0" applyAlignment="0" applyProtection="0"/>
    <xf numFmtId="0" fontId="2" fillId="0" borderId="17" applyNumberFormat="0" applyFill="0" applyAlignment="0" applyProtection="0"/>
    <xf numFmtId="0" fontId="24"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24"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2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2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2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2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cellStyleXfs>
  <cellXfs count="68">
    <xf numFmtId="0" fontId="0" fillId="0" borderId="0" xfId="0"/>
    <xf numFmtId="7" fontId="0" fillId="0" borderId="0" xfId="0" applyNumberFormat="1"/>
    <xf numFmtId="14" fontId="0" fillId="0" borderId="0" xfId="0" applyNumberFormat="1"/>
    <xf numFmtId="0" fontId="1" fillId="3" borderId="0" xfId="0" applyFont="1" applyFill="1" applyBorder="1"/>
    <xf numFmtId="0" fontId="3" fillId="0" borderId="0" xfId="0" applyFont="1" applyAlignment="1">
      <alignment horizontal="center"/>
    </xf>
    <xf numFmtId="0" fontId="2" fillId="0" borderId="0" xfId="0" applyFont="1"/>
    <xf numFmtId="0" fontId="2" fillId="0" borderId="0" xfId="0" applyFont="1" applyAlignment="1">
      <alignment horizontal="center"/>
    </xf>
    <xf numFmtId="0" fontId="0" fillId="0" borderId="2" xfId="0" applyBorder="1"/>
    <xf numFmtId="0" fontId="0" fillId="0" borderId="3" xfId="0" applyBorder="1"/>
    <xf numFmtId="0" fontId="5" fillId="6" borderId="0" xfId="1" applyFont="1" applyFill="1" applyBorder="1" applyAlignment="1">
      <alignment vertical="center"/>
    </xf>
    <xf numFmtId="14" fontId="6" fillId="4" borderId="5" xfId="1" applyNumberFormat="1" applyFont="1" applyFill="1" applyBorder="1" applyAlignment="1">
      <alignment vertical="center"/>
    </xf>
    <xf numFmtId="14" fontId="7" fillId="2" borderId="1" xfId="0" applyNumberFormat="1" applyFont="1" applyFill="1" applyBorder="1" applyProtection="1">
      <protection locked="0"/>
    </xf>
    <xf numFmtId="14" fontId="7" fillId="5" borderId="4" xfId="0" applyNumberFormat="1" applyFont="1" applyFill="1" applyBorder="1"/>
    <xf numFmtId="14" fontId="7" fillId="0" borderId="0" xfId="0" applyNumberFormat="1" applyFont="1"/>
    <xf numFmtId="14" fontId="0" fillId="0" borderId="0" xfId="0" applyNumberFormat="1" applyAlignment="1">
      <alignment horizontal="center"/>
    </xf>
    <xf numFmtId="14" fontId="0" fillId="2" borderId="0" xfId="0" applyNumberFormat="1" applyFill="1"/>
    <xf numFmtId="14" fontId="0" fillId="7" borderId="0" xfId="0" applyNumberFormat="1" applyFill="1"/>
    <xf numFmtId="0" fontId="1" fillId="3" borderId="6" xfId="0" applyFont="1" applyFill="1" applyBorder="1"/>
    <xf numFmtId="0" fontId="8" fillId="3" borderId="0" xfId="0" applyFont="1" applyFill="1" applyBorder="1" applyAlignment="1">
      <alignment vertical="center"/>
    </xf>
    <xf numFmtId="0" fontId="8" fillId="3" borderId="7" xfId="0" applyFont="1" applyFill="1" applyBorder="1" applyAlignment="1">
      <alignment vertical="center"/>
    </xf>
    <xf numFmtId="0" fontId="7" fillId="0" borderId="0" xfId="0" applyNumberFormat="1" applyFont="1" applyAlignment="1">
      <alignment horizontal="center"/>
    </xf>
    <xf numFmtId="0" fontId="2" fillId="0" borderId="0" xfId="0" applyFont="1" applyBorder="1"/>
    <xf numFmtId="0" fontId="2" fillId="0" borderId="18" xfId="0" applyFont="1" applyBorder="1" applyAlignment="1">
      <alignment horizontal="center"/>
    </xf>
    <xf numFmtId="0" fontId="0" fillId="0" borderId="19" xfId="0" applyBorder="1"/>
    <xf numFmtId="0" fontId="2" fillId="0" borderId="0" xfId="0" applyFont="1" applyBorder="1" applyAlignment="1">
      <alignment horizontal="center"/>
    </xf>
    <xf numFmtId="0" fontId="0" fillId="0" borderId="0" xfId="0" applyBorder="1"/>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23" xfId="0" applyBorder="1"/>
    <xf numFmtId="0" fontId="2" fillId="0" borderId="24" xfId="0" applyFont="1" applyBorder="1" applyAlignment="1">
      <alignment horizontal="center"/>
    </xf>
    <xf numFmtId="14" fontId="9" fillId="0" borderId="8" xfId="0" applyNumberFormat="1" applyFont="1" applyBorder="1"/>
    <xf numFmtId="0" fontId="0" fillId="0" borderId="0" xfId="0" applyAlignment="1">
      <alignment horizontal="center"/>
    </xf>
    <xf numFmtId="22" fontId="0" fillId="0" borderId="0" xfId="0" applyNumberFormat="1" applyAlignment="1">
      <alignment horizontal="left"/>
    </xf>
    <xf numFmtId="43" fontId="0" fillId="0" borderId="0" xfId="0" applyNumberFormat="1" applyAlignment="1">
      <alignment horizontal="center"/>
    </xf>
    <xf numFmtId="44" fontId="0" fillId="0" borderId="0" xfId="0" applyNumberFormat="1" applyAlignment="1">
      <alignment horizontal="center"/>
    </xf>
    <xf numFmtId="44" fontId="0" fillId="0" borderId="0" xfId="0" applyNumberFormat="1"/>
    <xf numFmtId="7" fontId="0" fillId="0" borderId="0" xfId="0" applyNumberFormat="1" applyAlignment="1">
      <alignment horizontal="center"/>
    </xf>
    <xf numFmtId="0" fontId="8" fillId="3" borderId="0" xfId="1" applyFont="1" applyFill="1" applyBorder="1" applyAlignment="1">
      <alignment vertical="center"/>
    </xf>
    <xf numFmtId="0" fontId="0" fillId="0" borderId="28" xfId="0" applyFont="1" applyBorder="1"/>
    <xf numFmtId="0" fontId="0" fillId="39" borderId="26" xfId="0" applyFont="1" applyFill="1" applyBorder="1"/>
    <xf numFmtId="0" fontId="0" fillId="39" borderId="28" xfId="0" applyFont="1" applyFill="1" applyBorder="1"/>
    <xf numFmtId="0" fontId="0" fillId="0" borderId="26" xfId="0" applyFont="1" applyBorder="1"/>
    <xf numFmtId="0" fontId="0" fillId="39" borderId="30" xfId="0" applyFont="1" applyFill="1" applyBorder="1"/>
    <xf numFmtId="0" fontId="0" fillId="0" borderId="30" xfId="0" applyFont="1" applyBorder="1"/>
    <xf numFmtId="164" fontId="0" fillId="0" borderId="0" xfId="0" applyNumberFormat="1"/>
    <xf numFmtId="14" fontId="0" fillId="0" borderId="28" xfId="0" applyNumberFormat="1" applyBorder="1"/>
    <xf numFmtId="0" fontId="0" fillId="39" borderId="26" xfId="0" applyFill="1" applyBorder="1"/>
    <xf numFmtId="0" fontId="0" fillId="39" borderId="30" xfId="0" applyFill="1" applyBorder="1"/>
    <xf numFmtId="0" fontId="0" fillId="39" borderId="28" xfId="0" applyFill="1" applyBorder="1"/>
    <xf numFmtId="14" fontId="0" fillId="39" borderId="28" xfId="0" applyNumberFormat="1" applyFill="1" applyBorder="1"/>
    <xf numFmtId="0" fontId="0" fillId="0" borderId="30" xfId="0" applyBorder="1"/>
    <xf numFmtId="0" fontId="0" fillId="0" borderId="28" xfId="0" applyBorder="1"/>
    <xf numFmtId="7" fontId="0" fillId="0" borderId="28" xfId="0" applyNumberFormat="1" applyBorder="1"/>
    <xf numFmtId="0" fontId="0" fillId="0" borderId="26" xfId="0" applyBorder="1"/>
    <xf numFmtId="0" fontId="8" fillId="3" borderId="29" xfId="1" applyFont="1" applyFill="1" applyBorder="1" applyAlignment="1">
      <alignment vertical="center"/>
    </xf>
    <xf numFmtId="0" fontId="8" fillId="3" borderId="27" xfId="1" applyFont="1" applyFill="1" applyBorder="1" applyAlignment="1">
      <alignment vertical="center"/>
    </xf>
    <xf numFmtId="0" fontId="8" fillId="3" borderId="29" xfId="0" applyFont="1" applyFill="1" applyBorder="1" applyAlignment="1">
      <alignment vertical="center"/>
    </xf>
    <xf numFmtId="0" fontId="8" fillId="3" borderId="27" xfId="0" applyFont="1" applyFill="1" applyBorder="1" applyAlignment="1">
      <alignment vertical="center"/>
    </xf>
    <xf numFmtId="0" fontId="1" fillId="3" borderId="27" xfId="0" applyFont="1" applyFill="1" applyBorder="1"/>
    <xf numFmtId="0" fontId="1" fillId="3" borderId="25" xfId="0" applyFont="1" applyFill="1" applyBorder="1"/>
    <xf numFmtId="14" fontId="0" fillId="0" borderId="28" xfId="0" applyNumberFormat="1" applyFont="1" applyBorder="1"/>
    <xf numFmtId="14" fontId="0" fillId="39" borderId="28" xfId="0" applyNumberFormat="1" applyFont="1" applyFill="1" applyBorder="1"/>
    <xf numFmtId="7" fontId="0" fillId="39" borderId="28" xfId="0" applyNumberFormat="1" applyFont="1" applyFill="1" applyBorder="1"/>
    <xf numFmtId="7" fontId="0" fillId="0" borderId="28" xfId="0" applyNumberFormat="1" applyFont="1" applyBorder="1"/>
    <xf numFmtId="0" fontId="0" fillId="0" borderId="0" xfId="0" applyFont="1" applyBorder="1"/>
    <xf numFmtId="14" fontId="0" fillId="0" borderId="0" xfId="0" applyNumberFormat="1" applyFont="1" applyBorder="1"/>
    <xf numFmtId="0" fontId="8" fillId="3" borderId="0" xfId="0" applyFont="1" applyFill="1" applyAlignment="1">
      <alignment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xr:uid="{695724E8-CC21-4E30-B313-C854E1D68425}"/>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2">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9" formatCode="m/d/yyyy"/>
    </dxf>
    <dxf>
      <numFmt numFmtId="19" formatCode="m/d/yyyy"/>
    </dxf>
    <dxf>
      <border outline="0">
        <top style="thin">
          <color rgb="FF8EA9DB"/>
        </top>
      </border>
    </dxf>
    <dxf>
      <font>
        <b/>
        <i val="0"/>
        <strike val="0"/>
        <condense val="0"/>
        <extend val="0"/>
        <outline val="0"/>
        <shadow val="0"/>
        <u val="none"/>
        <vertAlign val="baseline"/>
        <sz val="10"/>
        <color rgb="FF000000"/>
        <name val="Helvetica"/>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00FFFF"/>
      <color rgb="FF6F621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26.emf"/><Relationship Id="rId7" Type="http://schemas.openxmlformats.org/officeDocument/2006/relationships/image" Target="../media/image23.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27.emf"/><Relationship Id="rId9"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0.emf"/><Relationship Id="rId4"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527050</xdr:colOff>
          <xdr:row>0</xdr:row>
          <xdr:rowOff>127000</xdr:rowOff>
        </xdr:from>
        <xdr:to>
          <xdr:col>12</xdr:col>
          <xdr:colOff>552450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Paste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527050</xdr:colOff>
          <xdr:row>7</xdr:row>
          <xdr:rowOff>69850</xdr:rowOff>
        </xdr:from>
        <xdr:to>
          <xdr:col>9</xdr:col>
          <xdr:colOff>565150</xdr:colOff>
          <xdr:row>10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4</xdr:row>
          <xdr:rowOff>127000</xdr:rowOff>
        </xdr:from>
        <xdr:to>
          <xdr:col>17</xdr:col>
          <xdr:colOff>431800</xdr:colOff>
          <xdr:row>6</xdr:row>
          <xdr:rowOff>184150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12</xdr:row>
          <xdr:rowOff>152400</xdr:rowOff>
        </xdr:from>
        <xdr:to>
          <xdr:col>10</xdr:col>
          <xdr:colOff>0</xdr:colOff>
          <xdr:row>17</xdr:row>
          <xdr:rowOff>19050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81</xdr:row>
      <xdr:rowOff>0</xdr:rowOff>
    </xdr:from>
    <xdr:to>
      <xdr:col>0</xdr:col>
      <xdr:colOff>88900</xdr:colOff>
      <xdr:row>81</xdr:row>
      <xdr:rowOff>50800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991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821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467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704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xdr:row>
      <xdr:rowOff>0</xdr:rowOff>
    </xdr:from>
    <xdr:to>
      <xdr:col>0</xdr:col>
      <xdr:colOff>95250</xdr:colOff>
      <xdr:row>103</xdr:row>
      <xdr:rowOff>95250</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29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833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3" name="Pictur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406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80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374650</xdr:colOff>
          <xdr:row>3</xdr:row>
          <xdr:rowOff>184150</xdr:rowOff>
        </xdr:from>
        <xdr:to>
          <xdr:col>17</xdr:col>
          <xdr:colOff>393700</xdr:colOff>
          <xdr:row>7</xdr:row>
          <xdr:rowOff>50800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69850</xdr:colOff>
          <xdr:row>1</xdr:row>
          <xdr:rowOff>50800</xdr:rowOff>
        </xdr:from>
        <xdr:to>
          <xdr:col>31</xdr:col>
          <xdr:colOff>19050</xdr:colOff>
          <xdr:row>4</xdr:row>
          <xdr:rowOff>69850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298450</xdr:colOff>
          <xdr:row>6</xdr:row>
          <xdr:rowOff>165100</xdr:rowOff>
        </xdr:from>
        <xdr:to>
          <xdr:col>31</xdr:col>
          <xdr:colOff>82550</xdr:colOff>
          <xdr:row>9</xdr:row>
          <xdr:rowOff>177800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20</xdr:row>
          <xdr:rowOff>12700</xdr:rowOff>
        </xdr:from>
        <xdr:to>
          <xdr:col>33</xdr:col>
          <xdr:colOff>25400</xdr:colOff>
          <xdr:row>23</xdr:row>
          <xdr:rowOff>114300</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10</xdr:row>
          <xdr:rowOff>165100</xdr:rowOff>
        </xdr:from>
        <xdr:to>
          <xdr:col>19</xdr:col>
          <xdr:colOff>361950</xdr:colOff>
          <xdr:row>14</xdr:row>
          <xdr:rowOff>88900</xdr:rowOff>
        </xdr:to>
        <xdr:sp macro="" textlink="">
          <xdr:nvSpPr>
            <xdr:cNvPr id="6149" name="CommandButton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215</xdr:row>
      <xdr:rowOff>0</xdr:rowOff>
    </xdr:from>
    <xdr:to>
      <xdr:col>0</xdr:col>
      <xdr:colOff>95250</xdr:colOff>
      <xdr:row>215</xdr:row>
      <xdr:rowOff>95250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4630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95250</xdr:colOff>
      <xdr:row>225</xdr:row>
      <xdr:rowOff>95250</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2059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xdr:row>
      <xdr:rowOff>0</xdr:rowOff>
    </xdr:from>
    <xdr:to>
      <xdr:col>0</xdr:col>
      <xdr:colOff>95250</xdr:colOff>
      <xdr:row>391</xdr:row>
      <xdr:rowOff>95250</xdr:rowOff>
    </xdr:to>
    <xdr:pic>
      <xdr:nvPicPr>
        <xdr:cNvPr id="38" name="Picture 37">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131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555</xdr:row>
      <xdr:rowOff>0</xdr:rowOff>
    </xdr:from>
    <xdr:to>
      <xdr:col>0</xdr:col>
      <xdr:colOff>95250</xdr:colOff>
      <xdr:row>555</xdr:row>
      <xdr:rowOff>95250</xdr:rowOff>
    </xdr:to>
    <xdr:pic>
      <xdr:nvPicPr>
        <xdr:cNvPr id="50" name="Picture 49">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7106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95250</xdr:colOff>
      <xdr:row>562</xdr:row>
      <xdr:rowOff>95250</xdr:rowOff>
    </xdr:to>
    <xdr:pic>
      <xdr:nvPicPr>
        <xdr:cNvPr id="51" name="Picture 50">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5513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95250</xdr:colOff>
      <xdr:row>563</xdr:row>
      <xdr:rowOff>95250</xdr:rowOff>
    </xdr:to>
    <xdr:pic>
      <xdr:nvPicPr>
        <xdr:cNvPr id="52" name="Picture 5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7355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95250</xdr:colOff>
      <xdr:row>571</xdr:row>
      <xdr:rowOff>95250</xdr:rowOff>
    </xdr:to>
    <xdr:pic>
      <xdr:nvPicPr>
        <xdr:cNvPr id="53" name="Picture 52">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83392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95250</xdr:colOff>
      <xdr:row>572</xdr:row>
      <xdr:rowOff>95250</xdr:rowOff>
    </xdr:to>
    <xdr:pic>
      <xdr:nvPicPr>
        <xdr:cNvPr id="54" name="Picture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891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xdr:row>
      <xdr:rowOff>0</xdr:rowOff>
    </xdr:from>
    <xdr:to>
      <xdr:col>0</xdr:col>
      <xdr:colOff>95250</xdr:colOff>
      <xdr:row>573</xdr:row>
      <xdr:rowOff>95250</xdr:rowOff>
    </xdr:to>
    <xdr:pic>
      <xdr:nvPicPr>
        <xdr:cNvPr id="55" name="Picture 54">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96283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495300</xdr:colOff>
          <xdr:row>21</xdr:row>
          <xdr:rowOff>88900</xdr:rowOff>
        </xdr:from>
        <xdr:to>
          <xdr:col>19</xdr:col>
          <xdr:colOff>190500</xdr:colOff>
          <xdr:row>25</xdr:row>
          <xdr:rowOff>152400</xdr:rowOff>
        </xdr:to>
        <xdr:sp macro="" textlink="">
          <xdr:nvSpPr>
            <xdr:cNvPr id="6150" name="CommandButton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584200</xdr:colOff>
          <xdr:row>4</xdr:row>
          <xdr:rowOff>50800</xdr:rowOff>
        </xdr:from>
        <xdr:to>
          <xdr:col>18</xdr:col>
          <xdr:colOff>355600</xdr:colOff>
          <xdr:row>11</xdr:row>
          <xdr:rowOff>146050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209550</xdr:colOff>
          <xdr:row>1</xdr:row>
          <xdr:rowOff>31750</xdr:rowOff>
        </xdr:from>
        <xdr:to>
          <xdr:col>41</xdr:col>
          <xdr:colOff>114300</xdr:colOff>
          <xdr:row>4</xdr:row>
          <xdr:rowOff>127000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3</xdr:row>
          <xdr:rowOff>171450</xdr:rowOff>
        </xdr:from>
        <xdr:to>
          <xdr:col>28</xdr:col>
          <xdr:colOff>0</xdr:colOff>
          <xdr:row>7</xdr:row>
          <xdr:rowOff>50800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450850</xdr:colOff>
          <xdr:row>21</xdr:row>
          <xdr:rowOff>127000</xdr:rowOff>
        </xdr:from>
        <xdr:to>
          <xdr:col>46</xdr:col>
          <xdr:colOff>317500</xdr:colOff>
          <xdr:row>27</xdr:row>
          <xdr:rowOff>25400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508000</xdr:colOff>
          <xdr:row>15</xdr:row>
          <xdr:rowOff>88900</xdr:rowOff>
        </xdr:from>
        <xdr:to>
          <xdr:col>22</xdr:col>
          <xdr:colOff>533400</xdr:colOff>
          <xdr:row>21</xdr:row>
          <xdr:rowOff>101600</xdr:rowOff>
        </xdr:to>
        <xdr:sp macro="" textlink="">
          <xdr:nvSpPr>
            <xdr:cNvPr id="8197" name="CommandButton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26</xdr:row>
          <xdr:rowOff>12700</xdr:rowOff>
        </xdr:from>
        <xdr:to>
          <xdr:col>20</xdr:col>
          <xdr:colOff>247650</xdr:colOff>
          <xdr:row>30</xdr:row>
          <xdr:rowOff>107950</xdr:rowOff>
        </xdr:to>
        <xdr:sp macro="" textlink="">
          <xdr:nvSpPr>
            <xdr:cNvPr id="8198" name="CommandButton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488950</xdr:colOff>
          <xdr:row>4</xdr:row>
          <xdr:rowOff>146050</xdr:rowOff>
        </xdr:from>
        <xdr:to>
          <xdr:col>13</xdr:col>
          <xdr:colOff>400050</xdr:colOff>
          <xdr:row>8</xdr:row>
          <xdr:rowOff>114300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355600</xdr:colOff>
          <xdr:row>2</xdr:row>
          <xdr:rowOff>12700</xdr:rowOff>
        </xdr:from>
        <xdr:to>
          <xdr:col>27</xdr:col>
          <xdr:colOff>114300</xdr:colOff>
          <xdr:row>6</xdr:row>
          <xdr:rowOff>177800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2</xdr:row>
          <xdr:rowOff>165100</xdr:rowOff>
        </xdr:from>
        <xdr:to>
          <xdr:col>22</xdr:col>
          <xdr:colOff>469900</xdr:colOff>
          <xdr:row>6</xdr:row>
          <xdr:rowOff>101600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xdr:row>
          <xdr:rowOff>50800</xdr:rowOff>
        </xdr:from>
        <xdr:to>
          <xdr:col>14</xdr:col>
          <xdr:colOff>361950</xdr:colOff>
          <xdr:row>16</xdr:row>
          <xdr:rowOff>177800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82</xdr:row>
      <xdr:rowOff>0</xdr:rowOff>
    </xdr:from>
    <xdr:to>
      <xdr:col>0</xdr:col>
      <xdr:colOff>88900</xdr:colOff>
      <xdr:row>82</xdr:row>
      <xdr:rowOff>50800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674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95250</xdr:colOff>
      <xdr:row>91</xdr:row>
      <xdr:rowOff>95250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95250</xdr:colOff>
      <xdr:row>104</xdr:row>
      <xdr:rowOff>95250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87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88900</xdr:colOff>
          <xdr:row>3</xdr:row>
          <xdr:rowOff>165100</xdr:rowOff>
        </xdr:from>
        <xdr:to>
          <xdr:col>14</xdr:col>
          <xdr:colOff>361950</xdr:colOff>
          <xdr:row>6</xdr:row>
          <xdr:rowOff>88900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xdr:row>
          <xdr:rowOff>50800</xdr:rowOff>
        </xdr:from>
        <xdr:to>
          <xdr:col>17</xdr:col>
          <xdr:colOff>298450</xdr:colOff>
          <xdr:row>6</xdr:row>
          <xdr:rowOff>50800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222250</xdr:colOff>
          <xdr:row>1</xdr:row>
          <xdr:rowOff>260350</xdr:rowOff>
        </xdr:from>
        <xdr:to>
          <xdr:col>25</xdr:col>
          <xdr:colOff>488950</xdr:colOff>
          <xdr:row>4</xdr:row>
          <xdr:rowOff>19050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0</xdr:row>
          <xdr:rowOff>165100</xdr:rowOff>
        </xdr:from>
        <xdr:to>
          <xdr:col>8</xdr:col>
          <xdr:colOff>1016000</xdr:colOff>
          <xdr:row>2</xdr:row>
          <xdr:rowOff>6350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1327150</xdr:colOff>
          <xdr:row>0</xdr:row>
          <xdr:rowOff>133350</xdr:rowOff>
        </xdr:from>
        <xdr:to>
          <xdr:col>9</xdr:col>
          <xdr:colOff>2228850</xdr:colOff>
          <xdr:row>2</xdr:row>
          <xdr:rowOff>12700</xdr:rowOff>
        </xdr:to>
        <xdr:sp macro="" textlink="">
          <xdr:nvSpPr>
            <xdr:cNvPr id="16396" name="CommandButton5"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3917950</xdr:colOff>
          <xdr:row>7</xdr:row>
          <xdr:rowOff>12700</xdr:rowOff>
        </xdr:from>
        <xdr:to>
          <xdr:col>15</xdr:col>
          <xdr:colOff>393700</xdr:colOff>
          <xdr:row>10</xdr:row>
          <xdr:rowOff>95250</xdr:rowOff>
        </xdr:to>
        <xdr:sp macro="" textlink="">
          <xdr:nvSpPr>
            <xdr:cNvPr id="16398" name="CommandButton6"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1866900</xdr:colOff>
          <xdr:row>3</xdr:row>
          <xdr:rowOff>50800</xdr:rowOff>
        </xdr:from>
        <xdr:to>
          <xdr:col>9</xdr:col>
          <xdr:colOff>4127500</xdr:colOff>
          <xdr:row>6</xdr:row>
          <xdr:rowOff>215900</xdr:rowOff>
        </xdr:to>
        <xdr:sp macro="" textlink="">
          <xdr:nvSpPr>
            <xdr:cNvPr id="16400" name="CommandButton7"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38100</xdr:rowOff>
        </xdr:from>
        <xdr:to>
          <xdr:col>16</xdr:col>
          <xdr:colOff>323850</xdr:colOff>
          <xdr:row>20</xdr:row>
          <xdr:rowOff>165100</xdr:rowOff>
        </xdr:to>
        <xdr:sp macro="" textlink="">
          <xdr:nvSpPr>
            <xdr:cNvPr id="16401" name="CommandButton8"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565150</xdr:colOff>
          <xdr:row>3</xdr:row>
          <xdr:rowOff>127000</xdr:rowOff>
        </xdr:from>
        <xdr:to>
          <xdr:col>8</xdr:col>
          <xdr:colOff>38100</xdr:colOff>
          <xdr:row>7</xdr:row>
          <xdr:rowOff>203200</xdr:rowOff>
        </xdr:to>
        <xdr:sp macro="" textlink="">
          <xdr:nvSpPr>
            <xdr:cNvPr id="16403" name="CommandButton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10</xdr:row>
          <xdr:rowOff>107950</xdr:rowOff>
        </xdr:from>
        <xdr:to>
          <xdr:col>3</xdr:col>
          <xdr:colOff>3022600</xdr:colOff>
          <xdr:row>14</xdr:row>
          <xdr:rowOff>69850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25</xdr:row>
          <xdr:rowOff>146050</xdr:rowOff>
        </xdr:from>
        <xdr:to>
          <xdr:col>3</xdr:col>
          <xdr:colOff>3314700</xdr:colOff>
          <xdr:row>30</xdr:row>
          <xdr:rowOff>6350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28</xdr:row>
          <xdr:rowOff>50800</xdr:rowOff>
        </xdr:from>
        <xdr:to>
          <xdr:col>18</xdr:col>
          <xdr:colOff>69850</xdr:colOff>
          <xdr:row>32</xdr:row>
          <xdr:rowOff>76200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16</xdr:row>
          <xdr:rowOff>76200</xdr:rowOff>
        </xdr:from>
        <xdr:to>
          <xdr:col>3</xdr:col>
          <xdr:colOff>5181600</xdr:colOff>
          <xdr:row>21</xdr:row>
          <xdr:rowOff>177800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34</xdr:row>
          <xdr:rowOff>31750</xdr:rowOff>
        </xdr:from>
        <xdr:to>
          <xdr:col>3</xdr:col>
          <xdr:colOff>4419600</xdr:colOff>
          <xdr:row>38</xdr:row>
          <xdr:rowOff>158750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539750</xdr:colOff>
      <xdr:row>36</xdr:row>
      <xdr:rowOff>101600</xdr:rowOff>
    </xdr:from>
    <xdr:to>
      <xdr:col>19</xdr:col>
      <xdr:colOff>82550</xdr:colOff>
      <xdr:row>50</xdr:row>
      <xdr:rowOff>31750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9956800" y="1943100"/>
          <a:ext cx="5029200" cy="250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476250</xdr:colOff>
      <xdr:row>14</xdr:row>
      <xdr:rowOff>25400</xdr:rowOff>
    </xdr:from>
    <xdr:to>
      <xdr:col>19</xdr:col>
      <xdr:colOff>57150</xdr:colOff>
      <xdr:row>29</xdr:row>
      <xdr:rowOff>12700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715250" y="2603500"/>
          <a:ext cx="628650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Note:</a:t>
          </a:r>
          <a:r>
            <a:rPr lang="en-US" sz="1100" baseline="0">
              <a:solidFill>
                <a:schemeClr val="dk1"/>
              </a:solidFill>
              <a:effectLst/>
              <a:latin typeface="+mn-lt"/>
              <a:ea typeface="+mn-ea"/>
              <a:cs typeface="+mn-cs"/>
            </a:rPr>
            <a:t>  current date - 2 days. only send report if store is not closed for 2 days. </a:t>
          </a:r>
        </a:p>
        <a:p>
          <a:r>
            <a:rPr lang="en-US" sz="1100" baseline="0">
              <a:solidFill>
                <a:schemeClr val="dk1"/>
              </a:solidFill>
              <a:effectLst/>
              <a:latin typeface="+mn-lt"/>
              <a:ea typeface="+mn-ea"/>
              <a:cs typeface="+mn-cs"/>
            </a:rPr>
            <a:t>Example if tofay is 30,then 27th day closing has to be included in report otherwise ignore.</a:t>
          </a:r>
          <a:endParaRPr lang="en-US">
            <a:effectLst/>
          </a:endParaRPr>
        </a:p>
        <a:p>
          <a:r>
            <a:rPr lang="en-US" sz="1100" baseline="0">
              <a:solidFill>
                <a:schemeClr val="dk1"/>
              </a:solidFill>
              <a:effectLst/>
              <a:latin typeface="+mn-lt"/>
              <a:ea typeface="+mn-ea"/>
              <a:cs typeface="+mn-cs"/>
            </a:rPr>
            <a:t>steps: </a:t>
          </a:r>
          <a:endParaRPr lang="en-US">
            <a:effectLst/>
          </a:endParaRPr>
        </a:p>
        <a:p>
          <a:r>
            <a:rPr lang="en-US" sz="1100" baseline="0">
              <a:solidFill>
                <a:schemeClr val="dk1"/>
              </a:solidFill>
              <a:effectLst/>
              <a:latin typeface="+mn-lt"/>
              <a:ea typeface="+mn-ea"/>
              <a:cs typeface="+mn-cs"/>
            </a:rPr>
            <a:t>1. Filter with date on which you are pulling RnA and Radiant data</a:t>
          </a:r>
          <a:endParaRPr lang="en-US">
            <a:effectLst/>
          </a:endParaRPr>
        </a:p>
        <a:p>
          <a:r>
            <a:rPr lang="en-US" sz="1100" baseline="0">
              <a:solidFill>
                <a:schemeClr val="dk1"/>
              </a:solidFill>
              <a:effectLst/>
              <a:latin typeface="+mn-lt"/>
              <a:ea typeface="+mn-ea"/>
              <a:cs typeface="+mn-cs"/>
            </a:rPr>
            <a:t>2. Hide duplicate data for same Store and filter last 2 days. example </a:t>
          </a:r>
          <a:endParaRPr lang="en-US">
            <a:effectLst/>
          </a:endParaRPr>
        </a:p>
        <a:p>
          <a:r>
            <a:rPr lang="en-US" sz="1100" baseline="0">
              <a:solidFill>
                <a:schemeClr val="dk1"/>
              </a:solidFill>
              <a:effectLst/>
              <a:latin typeface="+mn-lt"/>
              <a:ea typeface="+mn-ea"/>
              <a:cs typeface="+mn-cs"/>
            </a:rPr>
            <a:t>if today is 30, filter put upto  28.  show 27</a:t>
          </a:r>
          <a:endParaRPr lang="en-US">
            <a:effectLst/>
          </a:endParaRPr>
        </a:p>
        <a:p>
          <a:r>
            <a:rPr lang="en-US" sz="1100" baseline="0">
              <a:solidFill>
                <a:schemeClr val="dk1"/>
              </a:solidFill>
              <a:effectLst/>
              <a:latin typeface="+mn-lt"/>
              <a:ea typeface="+mn-ea"/>
              <a:cs typeface="+mn-cs"/>
            </a:rPr>
            <a:t>3. Copy paste without formatting in separate place and remove value if its under    limit.  </a:t>
          </a:r>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1</xdr:row>
      <xdr:rowOff>12700</xdr:rowOff>
    </xdr:from>
    <xdr:to>
      <xdr:col>27</xdr:col>
      <xdr:colOff>361950</xdr:colOff>
      <xdr:row>197</xdr:row>
      <xdr:rowOff>158750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0500" y="196850"/>
          <a:ext cx="16598900" cy="3623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If </a:t>
          </a:r>
          <a:r>
            <a:rPr lang="en-US" sz="1100" b="0"/>
            <a:t>Date Range </a:t>
          </a:r>
          <a:r>
            <a:rPr lang="en-US" sz="1100" b="1"/>
            <a:t>for</a:t>
          </a:r>
          <a:r>
            <a:rPr lang="en-US" sz="1100" b="1" baseline="0"/>
            <a:t> a week is in such a way that week start and end in diff month ...error.  30 august sep 5 ..not working---SORTED ---I HAVE JUST ADDED FOLLOWING CONDITION IN </a:t>
          </a:r>
          <a:r>
            <a:rPr lang="en-US" sz="1100" b="1"/>
            <a:t>Filter Dunkin</a:t>
          </a:r>
        </a:p>
        <a:p>
          <a:r>
            <a:rPr lang="en-US" sz="1100" b="0"/>
            <a:t>If monthmanual = month_rawdata_startdate And monthmanual = month_rawdata_enddate And yearmanual = year_rawdata_startdate And yearmanual = year_rawdata_enddate </a:t>
          </a:r>
        </a:p>
        <a:p>
          <a:r>
            <a:rPr lang="en-US" sz="1100" b="1"/>
            <a:t>Or ((EndDate - StartDate = 6 And Weekday(StartDate) = 1 And Weekday(EndDate) = 7)) </a:t>
          </a:r>
          <a:r>
            <a:rPr lang="en-US" sz="1100" b="0"/>
            <a:t>Then</a:t>
          </a:r>
        </a:p>
        <a:p>
          <a:endParaRPr lang="en-US" sz="1100" b="0"/>
        </a:p>
        <a:p>
          <a:r>
            <a:rPr lang="en-US" sz="1100" b="1"/>
            <a:t>**** I HAVE</a:t>
          </a:r>
          <a:r>
            <a:rPr lang="en-US" sz="1100" b="1" baseline="0"/>
            <a:t> TO RECODE THE DATE VALIDATION AGAIN. I THINK IT SHOULD BE SIMILAR TO DONUT COUNT.</a:t>
          </a:r>
          <a:endParaRPr lang="en-US" sz="1100" b="1"/>
        </a:p>
        <a:p>
          <a:endParaRPr lang="en-US" sz="1100" b="1"/>
        </a:p>
        <a:p>
          <a:r>
            <a:rPr lang="en-US" sz="1100"/>
            <a:t>1.</a:t>
          </a:r>
          <a:r>
            <a:rPr lang="en-US" sz="1100" baseline="0"/>
            <a:t> Manual date entry is just to know the month and year. After entering manual date in "Select Date Range" sheet, any date within that month can be entered if startdate = end date , week diff between start and end date or start date= beginning of month and end date is last date of month.</a:t>
          </a:r>
        </a:p>
        <a:p>
          <a:r>
            <a:rPr lang="en-US" sz="1100" baseline="0"/>
            <a:t>*Make sure to filter dunkin data in POS before product mix data. </a:t>
          </a:r>
        </a:p>
        <a:p>
          <a:r>
            <a:rPr lang="en-US" sz="1100" baseline="0"/>
            <a:t>2. if duplicates store , start date and end date exist, sub will exit. </a:t>
          </a:r>
        </a:p>
        <a:p>
          <a:r>
            <a:rPr lang="en-US" sz="1100" baseline="0"/>
            <a:t>*****If entire amount in the columns are replicated, we wont be able to know. Code just check for store, start and end Date.</a:t>
          </a:r>
        </a:p>
        <a:p>
          <a:endParaRPr lang="en-US" sz="1100" baseline="0"/>
        </a:p>
        <a:p>
          <a:r>
            <a:rPr lang="en-US" sz="1100" b="1" baseline="0"/>
            <a:t>Filter Mix:</a:t>
          </a:r>
        </a:p>
        <a:p>
          <a:r>
            <a:rPr lang="en-US" sz="1100" baseline="0"/>
            <a:t>1. above point 1 is also applies here.</a:t>
          </a:r>
        </a:p>
        <a:p>
          <a:r>
            <a:rPr lang="en-US" sz="1100" baseline="0"/>
            <a:t>2. Filter product mix data after dunkin data, for loop looks for dunkin entry to paste the data. </a:t>
          </a:r>
        </a:p>
        <a:p>
          <a:r>
            <a:rPr lang="en-US" sz="1100" baseline="0"/>
            <a:t>3. If store , start and end date is not found in POS sheet, data wont be inserted. But if data from Product Mix already exists, code will override the </a:t>
          </a:r>
        </a:p>
        <a:p>
          <a:r>
            <a:rPr lang="en-US" sz="1100" baseline="0"/>
            <a:t>data.</a:t>
          </a:r>
        </a:p>
        <a:p>
          <a:endParaRPr lang="en-US" sz="1100" baseline="0"/>
        </a:p>
        <a:p>
          <a:r>
            <a:rPr lang="en-US" sz="1100" b="1" baseline="0"/>
            <a:t>Future Improvement:</a:t>
          </a:r>
        </a:p>
        <a:p>
          <a:r>
            <a:rPr lang="en-US" sz="1100" baseline="0"/>
            <a:t>1. compare each data data with weekly data like we are doing in Master Payroll Workbook.</a:t>
          </a:r>
        </a:p>
        <a:p>
          <a:r>
            <a:rPr lang="en-US" sz="1100" baseline="0"/>
            <a:t>2. Put clear button code at the end of filter button. so that user dont waste time in clearing data.</a:t>
          </a:r>
        </a:p>
        <a:p>
          <a:r>
            <a:rPr lang="en-US" sz="1100" baseline="0"/>
            <a:t>3. we can check </a:t>
          </a:r>
          <a:r>
            <a:rPr lang="en-US" sz="1100" baseline="0">
              <a:solidFill>
                <a:schemeClr val="dk1"/>
              </a:solidFill>
              <a:effectLst/>
              <a:latin typeface="+mn-lt"/>
              <a:ea typeface="+mn-ea"/>
              <a:cs typeface="+mn-cs"/>
            </a:rPr>
            <a:t>Cumulative Total </a:t>
          </a:r>
          <a:r>
            <a:rPr lang="en-US" sz="1100" baseline="0"/>
            <a:t>data in filter button. I mean excute the "check with Cumulative Total"   button sub in "Filter' button. I have not done such thing before.</a:t>
          </a:r>
        </a:p>
        <a:p>
          <a:r>
            <a:rPr lang="en-US" sz="1100" baseline="0"/>
            <a:t>4. When data already exist in POS sheet, it gets override if you press filter button. we can show a dialogue box for data already exits. But not important. Least priority.</a:t>
          </a:r>
        </a:p>
        <a:p>
          <a:r>
            <a:rPr lang="en-US" sz="1100" baseline="0"/>
            <a:t>5. In Filter Dunkin Sheet, we should show a alert dialogue box that you have entered weekly or monthly range only. so that user knows he has entered weekly or mothly range. Just in case </a:t>
          </a:r>
        </a:p>
        <a:p>
          <a:r>
            <a:rPr lang="en-US" sz="1100" baseline="0"/>
            <a:t>he made this selection my mistake. If has made this selection by mistake he will still know this when he will do Filter Product mix sheet entery because that selection will not be found.</a:t>
          </a:r>
        </a:p>
        <a:p>
          <a:endParaRPr lang="en-US" sz="1100" baseline="0"/>
        </a:p>
        <a:p>
          <a:r>
            <a:rPr lang="en-US" sz="1100" b="1" baseline="0"/>
            <a:t>Column</a:t>
          </a:r>
          <a:r>
            <a:rPr lang="en-US" sz="1100" baseline="0"/>
            <a:t> : </a:t>
          </a:r>
          <a:r>
            <a:rPr lang="en-US" sz="1100" b="1" i="0" u="none" strike="noStrike">
              <a:solidFill>
                <a:schemeClr val="dk1"/>
              </a:solidFill>
              <a:effectLst/>
              <a:latin typeface="+mn-lt"/>
              <a:ea typeface="+mn-ea"/>
              <a:cs typeface="+mn-cs"/>
            </a:rPr>
            <a:t>No Sale Transactions Amount (25th</a:t>
          </a:r>
          <a:r>
            <a:rPr lang="en-US" sz="1100" b="1" i="0" u="none" strike="noStrike" baseline="0">
              <a:solidFill>
                <a:schemeClr val="dk1"/>
              </a:solidFill>
              <a:effectLst/>
              <a:latin typeface="+mn-lt"/>
              <a:ea typeface="+mn-ea"/>
              <a:cs typeface="+mn-cs"/>
            </a:rPr>
            <a:t> column</a:t>
          </a:r>
          <a:r>
            <a:rPr lang="en-US" sz="1100" b="1" i="0" u="none" strike="noStrike">
              <a:solidFill>
                <a:schemeClr val="dk1"/>
              </a:solidFill>
              <a:effectLst/>
              <a:latin typeface="+mn-lt"/>
              <a:ea typeface="+mn-ea"/>
              <a:cs typeface="+mn-cs"/>
            </a:rPr>
            <a:t>)</a:t>
          </a:r>
          <a:r>
            <a:rPr lang="en-US"/>
            <a:t>  in POS</a:t>
          </a:r>
          <a:r>
            <a:rPr lang="en-US" baseline="0"/>
            <a:t> sheet does have any value. it is </a:t>
          </a:r>
          <a:r>
            <a:rPr lang="en-US" sz="1100">
              <a:solidFill>
                <a:schemeClr val="dk1"/>
              </a:solidFill>
              <a:effectLst/>
              <a:latin typeface="+mn-lt"/>
              <a:ea typeface="+mn-ea"/>
              <a:cs typeface="+mn-cs"/>
            </a:rPr>
            <a:t>is </a:t>
          </a:r>
          <a:r>
            <a:rPr lang="en-US" sz="1100" baseline="0">
              <a:solidFill>
                <a:schemeClr val="dk1"/>
              </a:solidFill>
              <a:effectLst/>
              <a:latin typeface="+mn-lt"/>
              <a:ea typeface="+mn-ea"/>
              <a:cs typeface="+mn-cs"/>
            </a:rPr>
            <a:t>not connected any data from radiant raw data</a:t>
          </a:r>
          <a:r>
            <a:rPr lang="en-US" baseline="0"/>
            <a:t>.its always zero therefore no need of this column. Use it when we need to add new column.</a:t>
          </a:r>
        </a:p>
        <a:p>
          <a:r>
            <a:rPr lang="en-US" sz="1100" b="1" baseline="0"/>
            <a:t>Column</a:t>
          </a:r>
          <a:r>
            <a:rPr lang="en-US" sz="1100" baseline="0"/>
            <a:t>: </a:t>
          </a:r>
          <a:r>
            <a:rPr lang="en-US" sz="1100" b="1" i="0" u="none" strike="noStrike">
              <a:solidFill>
                <a:schemeClr val="dk1"/>
              </a:solidFill>
              <a:effectLst/>
              <a:latin typeface="+mn-lt"/>
              <a:ea typeface="+mn-ea"/>
              <a:cs typeface="+mn-cs"/>
            </a:rPr>
            <a:t>Sales Tax (+) Percentage</a:t>
          </a:r>
          <a:r>
            <a:rPr lang="en-US"/>
            <a:t>  is als</a:t>
          </a:r>
          <a:r>
            <a:rPr lang="en-US" baseline="0"/>
            <a:t>o not connected any data from radiant raw data. But we need this percentage from adim portal. based on this percentage </a:t>
          </a:r>
          <a:r>
            <a:rPr lang="en-US" b="1" baseline="0"/>
            <a:t>sale tax (+) </a:t>
          </a:r>
          <a:r>
            <a:rPr lang="en-US" baseline="0"/>
            <a:t>is calculated.</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Filter Dunkin:</a:t>
          </a:r>
          <a:endParaRPr lang="en-US">
            <a:effectLst/>
          </a:endParaRPr>
        </a:p>
        <a:p>
          <a:r>
            <a:rPr lang="en-US" sz="1100" baseline="0"/>
            <a:t>Note: </a:t>
          </a:r>
        </a:p>
        <a:p>
          <a:r>
            <a:rPr lang="en-US" sz="1100" baseline="0"/>
            <a:t>.... Credit Description  is not inserted in POS. Value is pulled to make sure card recap Visa + master card + American express + discover must be equal to credit amount . </a:t>
          </a:r>
        </a:p>
        <a:p>
          <a:r>
            <a:rPr lang="en-US" sz="1100" baseline="0"/>
            <a:t>'This is just to check if credit is equal to visa + MC + american Express + discover. If its not equal we have to check  similar to amount we have to check trans. if sum of trans of 4 description is equal to cedit transac  then we have to check Financial Report </a:t>
          </a:r>
        </a:p>
        <a:p>
          <a:r>
            <a:rPr lang="en-US" sz="1100" baseline="0"/>
            <a:t>. if amount is correct over their. we dont have to call Radiant. and Let the data go in POS and Monthly sheet. let it be a Over / short amount shown with a number. if on financial Report also amount miss match pls call Radiant. otherwise  while doing Monthly sheet Difference between actual and calculated over/short will not be same.</a:t>
          </a:r>
        </a:p>
        <a:p>
          <a:r>
            <a:rPr lang="en-US" sz="1100" baseline="0"/>
            <a:t>pop message will be displayed if its not equal. Please note that value will be inserted in POS as usual.</a:t>
          </a:r>
        </a:p>
        <a:p>
          <a:endParaRPr lang="en-US" sz="1100" baseline="0"/>
        </a:p>
        <a:p>
          <a:r>
            <a:rPr lang="en-US" sz="1100" baseline="0"/>
            <a:t>This testing of suming all the cards is done in Filter Dunkin instead of Monthly sheet code because then we have to add another column in POS called credits which has no meaning. </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Crunch Mix:</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Date allowed is similar to Filter Dunkins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We have added another column in Master POS Sheet from Crunch Mix. column 71 (</a:t>
          </a:r>
          <a:r>
            <a:rPr lang="en-US" sz="1100" b="1" i="0" u="none" strike="noStrike">
              <a:solidFill>
                <a:schemeClr val="dk1"/>
              </a:solidFill>
              <a:effectLst/>
              <a:latin typeface="+mn-lt"/>
              <a:ea typeface="+mn-ea"/>
              <a:cs typeface="+mn-cs"/>
            </a:rPr>
            <a:t>TotalCrunchMenuMix</a:t>
          </a:r>
          <a:r>
            <a:rPr lang="en-US"/>
            <a:t> ) its gives sum of BR</a:t>
          </a:r>
          <a:r>
            <a:rPr lang="en-US" baseline="0"/>
            <a:t> and dd sale. Crunch has calcualted sales % based on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total sale (BR + DD) and we are displaying this percentage. But for Radiant store we are displaying percentage with totall amount for DD. BR not included.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We have to give functionality to show percentage by both in Thakkar system.</a:t>
          </a:r>
          <a:endParaRPr lang="en-US" b="0">
            <a:effectLst/>
          </a:endParaRPr>
        </a:p>
        <a:p>
          <a:r>
            <a:rPr lang="en-US" sz="1100" baseline="0"/>
            <a:t>2. calcualtion :  Formula</a:t>
          </a:r>
        </a:p>
        <a:p>
          <a:r>
            <a:rPr lang="en-US" sz="1100" baseline="0"/>
            <a:t>D-Espresso Subtotal= </a:t>
          </a:r>
        </a:p>
        <a:p>
          <a:r>
            <a:rPr lang="en-US" sz="1100" baseline="0"/>
            <a:t>Subtotal for DD Beverage Sales-Hot Espresso +</a:t>
          </a:r>
        </a:p>
        <a:p>
          <a:r>
            <a:rPr lang="en-US" sz="1100" baseline="0"/>
            <a:t>Subtotal for DD Beverage Sales-Iced Espresso</a:t>
          </a:r>
        </a:p>
        <a:p>
          <a:endParaRPr lang="en-US" sz="1100" baseline="0"/>
        </a:p>
        <a:p>
          <a:r>
            <a:rPr lang="en-US" sz="1100" baseline="0"/>
            <a:t> 'D-Donuts Subtotal=</a:t>
          </a:r>
        </a:p>
        <a:p>
          <a:r>
            <a:rPr lang="en-US" sz="1100" baseline="0"/>
            <a:t>Subtotal for DD Food Sales-Donuts:</a:t>
          </a:r>
        </a:p>
        <a:p>
          <a:endParaRPr lang="en-US" sz="1100" baseline="0"/>
        </a:p>
        <a:p>
          <a:r>
            <a:rPr lang="en-US" sz="1100" baseline="0"/>
            <a:t>D-Sandwich Subtotal =</a:t>
          </a:r>
        </a:p>
        <a:p>
          <a:r>
            <a:rPr lang="en-US" sz="1100" baseline="0"/>
            <a:t>Subtotal for DD Food Sales-Breakfast Sandwiches:</a:t>
          </a:r>
        </a:p>
        <a:p>
          <a:endParaRPr lang="en-US" sz="1100" baseline="0"/>
        </a:p>
        <a:p>
          <a:endParaRPr lang="en-US" sz="1100" baseline="0"/>
        </a:p>
        <a:p>
          <a:r>
            <a:rPr lang="en-US" sz="1100" baseline="0"/>
            <a:t>'D-Bagel &amp; CC Subtotal=</a:t>
          </a:r>
        </a:p>
        <a:p>
          <a:r>
            <a:rPr lang="en-US" sz="1100" baseline="0"/>
            <a:t>Subtotal for DD Food Sales-Condiments: +</a:t>
          </a:r>
        </a:p>
        <a:p>
          <a:r>
            <a:rPr lang="en-US" sz="1100" baseline="0"/>
            <a:t>Subtotal for DD Food Sales-Bagels:+</a:t>
          </a:r>
        </a:p>
        <a:p>
          <a:r>
            <a:rPr lang="en-US" sz="1100" baseline="0"/>
            <a:t>Subtotal for DD Food Sales-Cream Cheese:</a:t>
          </a:r>
        </a:p>
        <a:p>
          <a:endParaRPr lang="en-US" sz="1100" baseline="0"/>
        </a:p>
        <a:p>
          <a:r>
            <a:rPr lang="en-US" sz="1100" baseline="0"/>
            <a:t>'D-Beverage Subtotal=</a:t>
          </a:r>
        </a:p>
        <a:p>
          <a:r>
            <a:rPr lang="en-US" sz="1100" baseline="0"/>
            <a:t> Like "*Subtotal for DD Beverage*"</a:t>
          </a:r>
        </a:p>
        <a:p>
          <a:endParaRPr lang="en-US" sz="1100" baseline="0"/>
        </a:p>
        <a:p>
          <a:endParaRPr lang="en-US" sz="1100" baseline="0"/>
        </a:p>
        <a:p>
          <a:r>
            <a:rPr lang="en-US" sz="1100" baseline="0"/>
            <a:t>Totals:</a:t>
          </a:r>
        </a:p>
        <a:p>
          <a:endParaRPr lang="en-US" sz="1100" baseline="0"/>
        </a:p>
        <a:p>
          <a:endParaRPr lang="en-US" sz="1100" baseline="0"/>
        </a:p>
        <a:p>
          <a:endParaRPr lang="en-US" sz="1100" baseline="0"/>
        </a:p>
        <a:p>
          <a:endParaRPr lang="en-US" sz="1100" baseline="0"/>
        </a:p>
        <a:p>
          <a:endParaRPr lang="en-US" sz="1100" baseline="0"/>
        </a:p>
        <a:p>
          <a:r>
            <a:rPr lang="en-US" sz="1100" baseline="0"/>
            <a:t>NOTE: FIY</a:t>
          </a:r>
        </a:p>
        <a:p>
          <a:r>
            <a:rPr lang="en-US" sz="1100" baseline="0"/>
            <a:t>1.  Dunkin summary row data is used to get amount for the sale</a:t>
          </a:r>
        </a:p>
        <a:p>
          <a:r>
            <a:rPr lang="en-US" sz="1100" baseline="0"/>
            <a:t>2. Mix  sheet is used to get Tansaction (QTY) and individial Sale. </a:t>
          </a:r>
        </a:p>
        <a:p>
          <a:r>
            <a:rPr lang="en-US" sz="1100" baseline="0"/>
            <a:t>They both are kind of same sheet just used to get different infomation.</a:t>
          </a:r>
        </a:p>
        <a:p>
          <a:r>
            <a:rPr lang="en-US" sz="1100" baseline="0"/>
            <a:t>3. In </a:t>
          </a:r>
        </a:p>
        <a:p>
          <a:endParaRPr lang="en-US" sz="1100" baseline="0"/>
        </a:p>
        <a:p>
          <a:endParaRPr lang="en-US" sz="1100" baseline="0"/>
        </a:p>
        <a:p>
          <a:endParaRPr lang="en-US" sz="1100" b="1" baseline="0"/>
        </a:p>
        <a:p>
          <a:r>
            <a:rPr lang="en-US" sz="1100" b="1" baseline="0"/>
            <a:t>SELECT DATE RANGE SHEET</a:t>
          </a:r>
        </a:p>
        <a:p>
          <a:r>
            <a:rPr lang="en-US" sz="1100" b="1" baseline="0"/>
            <a:t>*** i may have missed one logic while locking cell. I am just check start date equal to ....but not if start and last are equal only then lock</a:t>
          </a:r>
        </a:p>
        <a:p>
          <a:r>
            <a:rPr lang="en-US" sz="1100" baseline="0"/>
            <a:t>1.  Date on Monthly workbook , Monthly report , and in master POS (Select Date Range) shoud be same.</a:t>
          </a:r>
        </a:p>
        <a:p>
          <a:r>
            <a:rPr lang="en-US" sz="1100" baseline="0">
              <a:solidFill>
                <a:schemeClr val="dk1"/>
              </a:solidFill>
              <a:effectLst/>
              <a:latin typeface="+mn-lt"/>
              <a:ea typeface="+mn-ea"/>
              <a:cs typeface="+mn-cs"/>
            </a:rPr>
            <a:t>2. for now we are not checking filename of monthly sheet (workbook) and monthly report. we are grabbing store number and date from start here sheet og monthly sheet and only date from monthly report from start here sheet.</a:t>
          </a:r>
        </a:p>
        <a:p>
          <a:r>
            <a:rPr lang="en-US" sz="1100" baseline="0">
              <a:solidFill>
                <a:schemeClr val="dk1"/>
              </a:solidFill>
              <a:effectLst/>
              <a:latin typeface="+mn-lt"/>
              <a:ea typeface="+mn-ea"/>
              <a:cs typeface="+mn-cs"/>
            </a:rPr>
            <a:t>3. Button "Send Data from POS to Monthly Sheet Wb and Monthly Report Wb" also lock the date  mentioned in cell(13,3) of monthly sheet. </a:t>
          </a:r>
          <a:endParaRPr lang="en-US">
            <a:effectLst/>
          </a:endParaRPr>
        </a:p>
        <a:p>
          <a:r>
            <a:rPr lang="en-US" sz="1100" baseline="0">
              <a:solidFill>
                <a:schemeClr val="dk1"/>
              </a:solidFill>
              <a:effectLst/>
              <a:latin typeface="+mn-lt"/>
              <a:ea typeface="+mn-ea"/>
              <a:cs typeface="+mn-cs"/>
            </a:rPr>
            <a:t>ALERT: If user locks the date till 20 th and later mention date as 15th. Even now the monthly sheet will be locked till 20th. Its because islock column in POS Sheet will be 1 even now, therfore to over come this we have to unlock the dates through Button "Unlock"</a:t>
          </a:r>
          <a:endParaRPr lang="en-US">
            <a:effectLst/>
          </a:endParaRPr>
        </a:p>
        <a:p>
          <a:endParaRPr lang="en-US" sz="1100" baseline="0"/>
        </a:p>
        <a:p>
          <a:r>
            <a:rPr lang="en-US" sz="1100" baseline="0"/>
            <a:t>==========================================================================================================================================</a:t>
          </a:r>
        </a:p>
        <a:p>
          <a:r>
            <a:rPr lang="en-US" sz="1100" baseline="0"/>
            <a:t>Key Concept in Monthly Sheet of RnA</a:t>
          </a:r>
        </a:p>
        <a:p>
          <a:r>
            <a:rPr lang="en-US" sz="1100" baseline="0"/>
            <a:t>Actual Over/ Short (Diff column in monthly sheet) is sum of following columns=</a:t>
          </a:r>
        </a:p>
        <a:p>
          <a:r>
            <a:rPr lang="en-US" sz="1100" baseline="0"/>
            <a:t> </a:t>
          </a:r>
          <a:r>
            <a:rPr lang="en-US" sz="1100" b="1" i="0" u="sng" strike="noStrike">
              <a:solidFill>
                <a:schemeClr val="dk1"/>
              </a:solidFill>
              <a:effectLst/>
              <a:latin typeface="+mn-lt"/>
              <a:ea typeface="+mn-ea"/>
              <a:cs typeface="+mn-cs"/>
            </a:rPr>
            <a:t>GRUBHUB TOTAL GROSS</a:t>
          </a:r>
          <a:r>
            <a:rPr lang="en-US"/>
            <a:t>   +</a:t>
          </a:r>
        </a:p>
        <a:p>
          <a:r>
            <a:rPr lang="en-US" sz="1100" b="1" i="0" u="sng">
              <a:solidFill>
                <a:schemeClr val="dk1"/>
              </a:solidFill>
              <a:effectLst/>
              <a:latin typeface="+mn-lt"/>
              <a:ea typeface="+mn-ea"/>
              <a:cs typeface="+mn-cs"/>
            </a:rPr>
            <a:t>UBER-EATS TOTAL GROSS</a:t>
          </a:r>
          <a:r>
            <a:rPr lang="en-US" sz="1100">
              <a:solidFill>
                <a:schemeClr val="dk1"/>
              </a:solidFill>
              <a:effectLst/>
              <a:latin typeface="+mn-lt"/>
              <a:ea typeface="+mn-ea"/>
              <a:cs typeface="+mn-cs"/>
            </a:rPr>
            <a:t>  +</a:t>
          </a:r>
        </a:p>
        <a:p>
          <a:r>
            <a:rPr lang="en-US" sz="1100" b="1" i="0" u="sng">
              <a:solidFill>
                <a:schemeClr val="dk1"/>
              </a:solidFill>
              <a:effectLst/>
              <a:latin typeface="+mn-lt"/>
              <a:ea typeface="+mn-ea"/>
              <a:cs typeface="+mn-cs"/>
            </a:rPr>
            <a:t>ALL CARDS TOTAL</a:t>
          </a:r>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dk1"/>
              </a:solidFill>
              <a:effectLst/>
              <a:latin typeface="+mn-lt"/>
              <a:ea typeface="+mn-ea"/>
              <a:cs typeface="+mn-cs"/>
            </a:rPr>
            <a:t>BANK DEPOSIT</a:t>
          </a:r>
          <a:r>
            <a:rPr lang="en-US" sz="1100">
              <a:solidFill>
                <a:schemeClr val="dk1"/>
              </a:solidFill>
              <a:effectLst/>
              <a:latin typeface="+mn-lt"/>
              <a:ea typeface="+mn-ea"/>
              <a:cs typeface="+mn-cs"/>
            </a:rPr>
            <a:t>                     +</a:t>
          </a:r>
          <a:br>
            <a:rPr lang="en-US" sz="1100" b="1" i="0" u="sng" strike="noStrike">
              <a:solidFill>
                <a:schemeClr val="dk1"/>
              </a:solidFill>
              <a:effectLst/>
              <a:latin typeface="+mn-lt"/>
              <a:ea typeface="+mn-ea"/>
              <a:cs typeface="+mn-cs"/>
            </a:rPr>
          </a:br>
          <a:r>
            <a:rPr lang="en-US" sz="1100" b="1" i="0" u="sng">
              <a:solidFill>
                <a:schemeClr val="dk1"/>
              </a:solidFill>
              <a:effectLst/>
              <a:latin typeface="+mn-lt"/>
              <a:ea typeface="+mn-ea"/>
              <a:cs typeface="+mn-cs"/>
            </a:rPr>
            <a:t>PAID </a:t>
          </a:r>
          <a:r>
            <a:rPr lang="en-US" sz="1100" b="1" i="0" u="sng" strike="noStrike">
              <a:solidFill>
                <a:schemeClr val="dk1"/>
              </a:solidFill>
              <a:effectLst/>
              <a:latin typeface="+mn-lt"/>
              <a:ea typeface="+mn-ea"/>
              <a:cs typeface="+mn-cs"/>
            </a:rPr>
            <a:t>OUTS</a:t>
          </a:r>
          <a:r>
            <a:rPr lang="en-US"/>
            <a:t>                            +      (</a:t>
          </a:r>
          <a:r>
            <a:rPr lang="en-US" b="1"/>
            <a:t>NOTE</a:t>
          </a:r>
          <a:r>
            <a:rPr lang="en-US"/>
            <a:t>: This Paid Outs</a:t>
          </a:r>
          <a:r>
            <a:rPr lang="en-US" baseline="0"/>
            <a:t> amount also include Pain IN. Since in Newspaper column we are considering Paid in also. </a:t>
          </a:r>
          <a:r>
            <a:rPr lang="en-US" sz="1100" b="1" baseline="0">
              <a:solidFill>
                <a:schemeClr val="dk1"/>
              </a:solidFill>
              <a:effectLst/>
              <a:latin typeface="+mn-lt"/>
              <a:ea typeface="+mn-ea"/>
              <a:cs typeface="+mn-cs"/>
            </a:rPr>
            <a:t>Currently through VBA, amount assign to Newspaper colums = Paid Out - Paid IN</a:t>
          </a:r>
          <a:r>
            <a:rPr lang="en-US"/>
            <a:t>)</a:t>
          </a:r>
        </a:p>
        <a:p>
          <a:r>
            <a:rPr lang="en-US" sz="1100" b="1" i="0" u="sng" strike="noStrike">
              <a:solidFill>
                <a:schemeClr val="dk1"/>
              </a:solidFill>
              <a:effectLst/>
              <a:latin typeface="+mn-lt"/>
              <a:ea typeface="+mn-ea"/>
              <a:cs typeface="+mn-cs"/>
            </a:rPr>
            <a:t>DoorDash Tender</a:t>
          </a:r>
          <a:r>
            <a:rPr lang="en-US" sz="1100" b="1" i="0" u="none" strike="noStrike" baseline="0">
              <a:solidFill>
                <a:schemeClr val="dk1"/>
              </a:solidFill>
              <a:effectLst/>
              <a:latin typeface="+mn-lt"/>
              <a:ea typeface="+mn-ea"/>
              <a:cs typeface="+mn-cs"/>
            </a:rPr>
            <a:t>                </a:t>
          </a:r>
          <a:r>
            <a:rPr lang="en-US" sz="1100" b="0" i="0" u="none" strike="noStrike" baseline="0">
              <a:solidFill>
                <a:schemeClr val="dk1"/>
              </a:solidFill>
              <a:effectLst/>
              <a:latin typeface="+mn-lt"/>
              <a:ea typeface="+mn-ea"/>
              <a:cs typeface="+mn-cs"/>
            </a:rPr>
            <a:t>+ </a:t>
          </a:r>
        </a:p>
        <a:p>
          <a:r>
            <a:rPr lang="en-US" sz="1100" b="1" i="0" u="sng" strike="noStrike">
              <a:solidFill>
                <a:schemeClr val="dk1"/>
              </a:solidFill>
              <a:effectLst/>
              <a:latin typeface="+mn-lt"/>
              <a:ea typeface="+mn-ea"/>
              <a:cs typeface="+mn-cs"/>
            </a:rPr>
            <a:t>Delivery</a:t>
          </a:r>
          <a:r>
            <a:rPr lang="en-US" u="sng"/>
            <a:t>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a:t>
          </a:r>
          <a:r>
            <a:rPr lang="en-US" sz="1100" baseline="0">
              <a:solidFill>
                <a:schemeClr val="dk1"/>
              </a:solidFill>
              <a:effectLst/>
              <a:latin typeface="+mn-lt"/>
              <a:ea typeface="+mn-ea"/>
              <a:cs typeface="+mn-cs"/>
            </a:rPr>
            <a:t>Delivery + DoorDash Tender amount and Qty are included in external visa amount and Qty. External visa = External visa + Delivery + Doordash Tender (for both  amount and QTY )</a:t>
          </a:r>
          <a:endParaRPr lang="en-US">
            <a:effectLst/>
          </a:endParaRPr>
        </a:p>
        <a:p>
          <a:r>
            <a:rPr lang="en-US" sz="1100" baseline="0"/>
            <a:t> NOTE: Actual over/short includes all kind of charity. (Toy charity + regular charity)</a:t>
          </a:r>
        </a:p>
        <a:p>
          <a:r>
            <a:rPr lang="en-US" sz="1100" baseline="0"/>
            <a:t> NOTE: Actual Over/short is displayed in monthly sheet as DIFF column</a:t>
          </a:r>
        </a:p>
        <a:p>
          <a:endParaRPr lang="en-US" sz="1100" baseline="0"/>
        </a:p>
        <a:p>
          <a:endParaRPr lang="en-US" sz="1100" baseline="0"/>
        </a:p>
        <a:p>
          <a:endParaRPr lang="en-US" sz="1100" baseline="0"/>
        </a:p>
        <a:p>
          <a:r>
            <a:rPr lang="en-US" sz="1100" baseline="0"/>
            <a:t>POS Total over/Short for RnA is =</a:t>
          </a:r>
        </a:p>
        <a:p>
          <a:r>
            <a:rPr lang="en-US" sz="1100" baseline="0"/>
            <a:t>over/short  -</a:t>
          </a:r>
        </a:p>
        <a:p>
          <a:r>
            <a:rPr lang="en-US" sz="1100" baseline="0"/>
            <a:t>outstanding +</a:t>
          </a:r>
        </a:p>
        <a:p>
          <a:r>
            <a:rPr lang="en-US" sz="1100" baseline="0"/>
            <a:t>Carry Over. </a:t>
          </a:r>
        </a:p>
        <a:p>
          <a:r>
            <a:rPr lang="en-US" sz="1100" baseline="0"/>
            <a:t>NOTE: POS over/short doesNOT consider charity in calculation.</a:t>
          </a:r>
        </a:p>
        <a:p>
          <a:endParaRPr lang="en-US" sz="1100" baseline="0"/>
        </a:p>
        <a:p>
          <a:endParaRPr lang="en-US" sz="1100" baseline="0"/>
        </a:p>
        <a:p>
          <a:r>
            <a:rPr lang="en-US" sz="1100" baseline="0"/>
            <a:t>Note:  </a:t>
          </a:r>
          <a:r>
            <a:rPr lang="en-US" sz="1100" b="0" baseline="0"/>
            <a:t>Paid out is entered in </a:t>
          </a:r>
          <a:r>
            <a:rPr lang="en-US" sz="1100" baseline="0"/>
            <a:t>monthly sheet. But Admin has to ask for rceipt from Store manager to match with paid out in monthly sheet. </a:t>
          </a:r>
        </a:p>
        <a:p>
          <a:r>
            <a:rPr lang="en-US" sz="1100" b="1" baseline="0"/>
            <a:t>Currently through VBA, amount assign to Newspaper colums = Paid Out - Paid 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Currently in VBA for monthly Sheet , every thing is inserted automatically except Charity, </a:t>
          </a:r>
          <a:r>
            <a:rPr lang="en-US" sz="1100" baseline="0">
              <a:solidFill>
                <a:schemeClr val="dk1"/>
              </a:solidFill>
              <a:effectLst/>
              <a:latin typeface="+mn-lt"/>
              <a:ea typeface="+mn-ea"/>
              <a:cs typeface="+mn-cs"/>
            </a:rPr>
            <a:t>"BARK Coffee Cup Dog Toy" and "BARK Munckin Box Dog Toy"  </a:t>
          </a:r>
          <a:r>
            <a:rPr lang="en-US" sz="1100" baseline="0"/>
            <a:t>description. We never include charity in monthly sheet.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Toy description is also a Charity thats why it does not go on monthly sheet.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While generating Monthly sheet(workbook) and Monthly report by clicking on Button (Send Data from POS to Monthly Sheet Wb and Monthly Report Wb button) , if sales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tax is ZERO it wont be inserted in Monthly Sheet workbook but it will be inserted in Monthly Report.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While pullig the data from Radiant (Filter Dunkin) if sales tax amount is </a:t>
          </a:r>
          <a:r>
            <a:rPr lang="en-US" sz="1100" b="1" baseline="0"/>
            <a:t>ZERO</a:t>
          </a:r>
          <a:r>
            <a:rPr lang="en-US" sz="1100" baseline="0"/>
            <a:t> than you cannot use that pulled data for Monthly Sheet but you can use for Snapshot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Genrating monthly Sheet we only need </a:t>
          </a:r>
          <a:r>
            <a:rPr lang="en-US" sz="1100" b="1" baseline="0"/>
            <a:t>Filter Dunkin </a:t>
          </a:r>
          <a:r>
            <a:rPr lang="en-US" sz="1100" baseline="0"/>
            <a:t>and </a:t>
          </a:r>
          <a:r>
            <a:rPr lang="en-US" sz="1100" b="1" baseline="0"/>
            <a:t>RnA Dunkin </a:t>
          </a:r>
          <a:r>
            <a:rPr lang="en-US" sz="1100" baseline="0"/>
            <a:t>sheet Data only. For snapshot we need data from all the 4 sheets.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MISC DEscrip for Select Date Range:</a:t>
          </a:r>
          <a:r>
            <a:rPr lang="en-US" sz="1100" b="0" baseline="0"/>
            <a:t> F</a:t>
          </a:r>
          <a:r>
            <a:rPr lang="en-US" sz="1100" baseline="0"/>
            <a:t>or now all the charity and Clove go plus Charity (If amount is NON zero), Paid In (If amunt is NON zero), Sales tax (If Zero)</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MISC DEscrip for Master POS: Toy</a:t>
          </a:r>
          <a:r>
            <a:rPr lang="en-US" sz="1100" b="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clover go </a:t>
          </a:r>
          <a:r>
            <a:rPr lang="en-US" sz="1100" b="0" baseline="0">
              <a:solidFill>
                <a:schemeClr val="dk1"/>
              </a:solidFill>
              <a:effectLst/>
              <a:latin typeface="+mn-lt"/>
              <a:ea typeface="+mn-ea"/>
              <a:cs typeface="+mn-cs"/>
            </a:rPr>
            <a:t>description is displayed in  Misc column.</a:t>
          </a:r>
          <a:endParaRPr lang="en-US" sz="1100" b="0" baseline="0"/>
        </a:p>
        <a:p>
          <a:r>
            <a:rPr lang="en-US" sz="1100" baseline="0"/>
            <a:t>================================================================================================================================================================================</a:t>
          </a:r>
        </a:p>
        <a:p>
          <a:r>
            <a:rPr lang="en-US" sz="1100" baseline="0"/>
            <a:t>Pending work in Monthly Sheet</a:t>
          </a:r>
        </a:p>
        <a:p>
          <a:r>
            <a:rPr lang="en-US" sz="1100" baseline="0"/>
            <a:t>1. Lock logic.</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2. Loop for monthly sheet workbook. so that i can fill all the monthly sheet in one click. </a:t>
          </a:r>
          <a:r>
            <a:rPr lang="en-US" sz="1100" baseline="0">
              <a:solidFill>
                <a:schemeClr val="dk1"/>
              </a:solidFill>
              <a:effectLst/>
              <a:latin typeface="+mn-lt"/>
              <a:ea typeface="+mn-ea"/>
              <a:cs typeface="+mn-cs"/>
            </a:rPr>
            <a:t>All store process in one shot or one by one-give option to user.  check first if all the sheet are open.i think we have to make array and feed to the code one by one.</a:t>
          </a:r>
          <a:endParaRPr lang="en-US" sz="1100" baseline="0"/>
        </a:p>
        <a:p>
          <a:r>
            <a:rPr lang="en-US" sz="1100" b="1">
              <a:solidFill>
                <a:schemeClr val="dk1"/>
              </a:solidFill>
              <a:effectLst/>
              <a:latin typeface="+mn-lt"/>
              <a:ea typeface="+mn-ea"/>
              <a:cs typeface="+mn-cs"/>
            </a:rPr>
            <a:t>PUT validation in Monthly Report for Filename ..like Monthly Report and also match the date with start Here sheet date.-</a:t>
          </a:r>
          <a:endParaRPr lang="en-US">
            <a:effectLst/>
          </a:endParaRPr>
        </a:p>
        <a:p>
          <a:r>
            <a:rPr lang="en-US" sz="1100" baseline="0">
              <a:solidFill>
                <a:schemeClr val="dk1"/>
              </a:solidFill>
              <a:effectLst/>
              <a:latin typeface="+mn-lt"/>
              <a:ea typeface="+mn-ea"/>
              <a:cs typeface="+mn-cs"/>
            </a:rPr>
            <a:t>workbook name and start here date validation -..think of other files also</a:t>
          </a:r>
          <a:r>
            <a:rPr lang="en-US" sz="1100" b="1">
              <a:solidFill>
                <a:schemeClr val="dk1"/>
              </a:solidFill>
              <a:effectLst/>
              <a:latin typeface="+mn-lt"/>
              <a:ea typeface="+mn-ea"/>
              <a:cs typeface="+mn-cs"/>
            </a:rPr>
            <a:t>--imortant</a:t>
          </a:r>
          <a:endParaRPr lang="en-US">
            <a:effectLst/>
          </a:endParaRPr>
        </a:p>
        <a:p>
          <a:pPr eaLnBrk="1" fontAlgn="auto" latinLnBrk="0" hangingPunct="1"/>
          <a:r>
            <a:rPr lang="en-US" sz="1100" b="1">
              <a:solidFill>
                <a:schemeClr val="dk1"/>
              </a:solidFill>
              <a:effectLst/>
              <a:latin typeface="+mn-lt"/>
              <a:ea typeface="+mn-ea"/>
              <a:cs typeface="+mn-cs"/>
            </a:rPr>
            <a:t>3.</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I think I should write a code for radiant and crunch if any mandatory field is empty alert. Like I did in crunch time menu mix …I think I should do for another sheet also. Is empty()</a:t>
          </a:r>
          <a:endParaRPr lang="en-US">
            <a:effectLst/>
          </a:endParaRPr>
        </a:p>
        <a:p>
          <a:r>
            <a:rPr lang="en-US" sz="1100" b="1">
              <a:solidFill>
                <a:schemeClr val="dk1"/>
              </a:solidFill>
              <a:effectLst/>
              <a:latin typeface="+mn-lt"/>
              <a:ea typeface="+mn-ea"/>
              <a:cs typeface="+mn-cs"/>
            </a:rPr>
            <a:t>Think about mentioning full file name in select range date sheet. Since we are using loop. And think if owe can use filename for grabbing date and store name.</a:t>
          </a:r>
          <a:endParaRPr lang="en-US">
            <a:effectLst/>
          </a:endParaRPr>
        </a:p>
        <a:p>
          <a:endParaRPr lang="en-US" sz="1100" baseline="0"/>
        </a:p>
        <a:p>
          <a:endParaRPr lang="en-US" sz="1100" baseline="0"/>
        </a:p>
        <a:p>
          <a:endParaRPr lang="en-US" sz="1100" baseline="0"/>
        </a:p>
        <a:p>
          <a:endParaRPr lang="en-US" sz="1100" baseline="0"/>
        </a:p>
        <a:p>
          <a:r>
            <a:rPr lang="en-US" sz="1100" baseline="0"/>
            <a:t>==============================================================================================================</a:t>
          </a:r>
        </a:p>
        <a:p>
          <a:endParaRPr lang="en-US" sz="1100" baseline="0"/>
        </a:p>
        <a:p>
          <a:endParaRPr lang="en-US" sz="1100" baseline="0"/>
        </a:p>
        <a:p>
          <a:r>
            <a:rPr lang="en-US" sz="1100" baseline="0"/>
            <a:t>*****PENDING DEVELOPMENT: important: in filter MIX sheet : write a logic that if grandtotal in total in the end of the pasted sheet give error.</a:t>
          </a:r>
        </a:p>
        <a:p>
          <a:r>
            <a:rPr lang="en-US" sz="1100" baseline="0"/>
            <a:t>***     </a:t>
          </a:r>
          <a:r>
            <a:rPr lang="en-US" sz="1100" baseline="0">
              <a:solidFill>
                <a:schemeClr val="dk1"/>
              </a:solidFill>
              <a:effectLst/>
              <a:latin typeface="+mn-lt"/>
              <a:ea typeface="+mn-ea"/>
              <a:cs typeface="+mn-cs"/>
            </a:rPr>
            <a:t>filter MIX sheet  CODE TAKING LOT OF TIME TO EXCUTE. I HAVE TO MAKE IT EFFECIENT.  I think its better to make Fresh POS for each month.</a:t>
          </a:r>
        </a:p>
        <a:p>
          <a:r>
            <a:rPr lang="en-US" sz="1100" baseline="0">
              <a:solidFill>
                <a:schemeClr val="dk1"/>
              </a:solidFill>
              <a:effectLst/>
              <a:latin typeface="+mn-lt"/>
              <a:ea typeface="+mn-ea"/>
              <a:cs typeface="+mn-cs"/>
            </a:rPr>
            <a:t>***     BUGS:check 358682 store rna data--column 74 (Outstanding  column) has a formating issue-done</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p>
        <a:p>
          <a:endParaRPr lang="en-US" sz="1100" baseline="0"/>
        </a:p>
        <a:p>
          <a:r>
            <a:rPr lang="en-US" sz="1100" baseline="0"/>
            <a:t>Pending:</a:t>
          </a:r>
        </a:p>
        <a:p>
          <a:r>
            <a:rPr lang="en-US" sz="1100" baseline="0"/>
            <a:t>1.  Put all the monthly sheet address select date range sheet and use for loop to fill all the sheet in one shot. first validate if all the sheets are open.</a:t>
          </a:r>
        </a:p>
        <a:p>
          <a:r>
            <a:rPr lang="en-US" sz="1100" baseline="0"/>
            <a:t>2.  Snapshot , sales comaprison and lobor fill all these sheet one shot.</a:t>
          </a:r>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a:t>
          </a:r>
        </a:p>
        <a:p>
          <a:r>
            <a:rPr lang="en-US" sz="1100" baseline="0"/>
            <a:t>Monthly sheet notes</a:t>
          </a:r>
        </a:p>
        <a:p>
          <a:r>
            <a:rPr lang="en-US" sz="1100" baseline="0"/>
            <a:t>1. for now we are not checking filename. we are grabbing store nuber and date from start here sheet</a:t>
          </a:r>
          <a:br>
            <a:rPr lang="en-US" sz="1100" baseline="0"/>
          </a:br>
          <a:endParaRPr lang="en-US" sz="1100" baseline="0"/>
        </a:p>
        <a:p>
          <a:endParaRPr lang="en-US" sz="1100" baseline="0"/>
        </a:p>
        <a:p>
          <a:endParaRPr lang="en-US" sz="1100" baseline="0"/>
        </a:p>
        <a:p>
          <a:r>
            <a:rPr lang="en-US" sz="1100" baseline="0"/>
            <a:t>============================================================================================================================================================================================================</a:t>
          </a:r>
        </a:p>
        <a:p>
          <a:r>
            <a:rPr lang="en-US" sz="1100" b="1" baseline="0"/>
            <a:t>SNAPSHOT</a:t>
          </a:r>
          <a:r>
            <a:rPr lang="en-US" sz="1100" baseline="0"/>
            <a:t>:</a:t>
          </a:r>
        </a:p>
        <a:p>
          <a:r>
            <a:rPr lang="en-US" sz="1100" baseline="0"/>
            <a:t>1.  File name splits in vba with keyword "WE" for snapshot workbook.</a:t>
          </a:r>
        </a:p>
        <a:p>
          <a:r>
            <a:rPr lang="en-US" sz="1100" baseline="0"/>
            <a:t>2.  </a:t>
          </a:r>
          <a:r>
            <a:rPr lang="en-US" sz="1100" b="1" baseline="0"/>
            <a:t>Imortant Note: </a:t>
          </a:r>
          <a:r>
            <a:rPr lang="en-US" sz="1100" baseline="0"/>
            <a:t>always  run button "Send previous year DD BR Trans Data from Sales comparison wb to Snapshot" first before button "SEND Master POS Data to Snapshot sheet". Because button "SEND Master POS Data to Snapshot sheet" </a:t>
          </a:r>
        </a:p>
        <a:p>
          <a:r>
            <a:rPr lang="en-US" sz="1100" baseline="0"/>
            <a:t>     has code to check value in black colored cells.</a:t>
          </a:r>
        </a:p>
        <a:p>
          <a:r>
            <a:rPr lang="en-US" sz="1100" baseline="0"/>
            <a:t>3. </a:t>
          </a:r>
        </a:p>
        <a:p>
          <a:endParaRPr lang="en-US" sz="1100" baseline="0"/>
        </a:p>
        <a:p>
          <a:r>
            <a:rPr lang="en-US" sz="1100" baseline="0"/>
            <a:t>===============================================================================================================</a:t>
          </a:r>
        </a:p>
        <a:p>
          <a:endParaRPr lang="en-US" sz="1100" baseline="0"/>
        </a:p>
        <a:p>
          <a:r>
            <a:rPr lang="en-US" sz="1100" baseline="0"/>
            <a:t>Button "Send Data from POS to Monthly Sheet Wb and Monthly Report Wb"</a:t>
          </a:r>
        </a:p>
        <a:p>
          <a:r>
            <a:rPr lang="en-US" sz="1100" baseline="0"/>
            <a:t>1. Monthly Sheet filname can be anything</a:t>
          </a:r>
        </a:p>
        <a:p>
          <a:r>
            <a:rPr lang="en-US" sz="1100" baseline="0"/>
            <a:t>2. Date and store is matched with start here sheet.</a:t>
          </a:r>
        </a:p>
        <a:p>
          <a:endParaRPr lang="en-US" sz="1100" baseline="0"/>
        </a:p>
        <a:p>
          <a:endParaRPr lang="en-US" sz="1100" baseline="0"/>
        </a:p>
        <a:p>
          <a:r>
            <a:rPr lang="en-US" sz="1100" baseline="0"/>
            <a:t>===============================================================================================================</a:t>
          </a:r>
        </a:p>
        <a:p>
          <a:r>
            <a:rPr lang="en-US" sz="1100" baseline="0"/>
            <a:t>Button "Generate Monthly Report Only"</a:t>
          </a:r>
        </a:p>
        <a:p>
          <a:r>
            <a:rPr lang="en-US" sz="1100" baseline="0"/>
            <a:t>1. Filename doesnot matter---But still its better to mention first day of the month</a:t>
          </a:r>
        </a:p>
        <a:p>
          <a:r>
            <a:rPr lang="en-US" sz="1100" baseline="0"/>
            <a:t>2. Manual date in "Select Date Range" and date on start here sheet of monthly report is matched. If both are equal data is pulled based on date mention in each sheet and sheetname in monthly report.</a:t>
          </a:r>
        </a:p>
        <a:p>
          <a:r>
            <a:rPr lang="en-US" sz="1100" baseline="0"/>
            <a:t>3. All store or individual store can also be selected.</a:t>
          </a:r>
        </a:p>
        <a:p>
          <a:r>
            <a:rPr lang="en-US" sz="1100" baseline="0"/>
            <a:t>===============================================================================================================</a:t>
          </a:r>
        </a:p>
        <a:p>
          <a:r>
            <a:rPr lang="en-US" sz="1100" baseline="0"/>
            <a:t>Button "Send Current year DD BR Trans Data from POS to Sales comparison wb "</a:t>
          </a:r>
        </a:p>
        <a:p>
          <a:r>
            <a:rPr lang="en-US" sz="1100" baseline="0"/>
            <a:t>1. In sales comparison workbook- split is done based on "comparison"</a:t>
          </a:r>
        </a:p>
        <a:p>
          <a:r>
            <a:rPr lang="en-US" sz="1100" baseline="0"/>
            <a:t>2. filename should also have ####-####</a:t>
          </a:r>
        </a:p>
        <a:p>
          <a:r>
            <a:rPr lang="en-US" sz="1100" baseline="0"/>
            <a:t>======</a:t>
          </a:r>
        </a:p>
        <a:p>
          <a:endParaRPr lang="en-US" sz="1100" baseline="0"/>
        </a:p>
        <a:p>
          <a:r>
            <a:rPr lang="en-US" sz="1100" baseline="0"/>
            <a:t>=========================================================================================================</a:t>
          </a:r>
        </a:p>
        <a:p>
          <a:endParaRPr lang="en-US" sz="1100" baseline="0"/>
        </a:p>
        <a:p>
          <a:r>
            <a:rPr lang="en-US" sz="1100" baseline="0"/>
            <a:t>RnA Sales descriptions for stores:</a:t>
          </a:r>
          <a:br>
            <a:rPr lang="en-US" sz="1100" baseline="0"/>
          </a:br>
          <a:r>
            <a:rPr lang="en-US" sz="1100">
              <a:solidFill>
                <a:schemeClr val="dk1"/>
              </a:solidFill>
              <a:effectLst/>
              <a:latin typeface="+mn-lt"/>
              <a:ea typeface="+mn-ea"/>
              <a:cs typeface="+mn-cs"/>
            </a:rPr>
            <a:t>359606 -Atlanta Store Tax</a:t>
          </a:r>
        </a:p>
        <a:p>
          <a:r>
            <a:rPr lang="en-US" sz="1100">
              <a:solidFill>
                <a:schemeClr val="dk1"/>
              </a:solidFill>
              <a:effectLst/>
              <a:latin typeface="+mn-lt"/>
              <a:ea typeface="+mn-ea"/>
              <a:cs typeface="+mn-cs"/>
            </a:rPr>
            <a:t>DD355439-Dekalb County</a:t>
          </a:r>
        </a:p>
        <a:p>
          <a:r>
            <a:rPr lang="en-US" sz="1100">
              <a:solidFill>
                <a:schemeClr val="dk1"/>
              </a:solidFill>
              <a:effectLst/>
              <a:latin typeface="+mn-lt"/>
              <a:ea typeface="+mn-ea"/>
              <a:cs typeface="+mn-cs"/>
            </a:rPr>
            <a:t>DDBR358682 -Tax</a:t>
          </a:r>
        </a:p>
        <a:p>
          <a:r>
            <a:rPr lang="en-US" sz="1100">
              <a:solidFill>
                <a:schemeClr val="dk1"/>
              </a:solidFill>
              <a:effectLst/>
              <a:latin typeface="+mn-lt"/>
              <a:ea typeface="+mn-ea"/>
              <a:cs typeface="+mn-cs"/>
            </a:rPr>
            <a:t>DDBR357150-Morgan County</a:t>
          </a:r>
        </a:p>
        <a:p>
          <a:r>
            <a:rPr lang="en-US" sz="1100">
              <a:solidFill>
                <a:schemeClr val="dk1"/>
              </a:solidFill>
              <a:effectLst/>
              <a:latin typeface="+mn-lt"/>
              <a:ea typeface="+mn-ea"/>
              <a:cs typeface="+mn-cs"/>
            </a:rPr>
            <a:t>DDBR352613-Dekalb County Tax</a:t>
          </a:r>
        </a:p>
        <a:p>
          <a:endParaRPr lang="en-US"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590550</xdr:colOff>
      <xdr:row>73</xdr:row>
      <xdr:rowOff>120650</xdr:rowOff>
    </xdr:from>
    <xdr:to>
      <xdr:col>21</xdr:col>
      <xdr:colOff>292100</xdr:colOff>
      <xdr:row>81</xdr:row>
      <xdr:rowOff>82550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391900" y="13011150"/>
          <a:ext cx="607695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 Note: 1. for</a:t>
          </a:r>
          <a:r>
            <a:rPr lang="en-US" sz="1100" baseline="0"/>
            <a:t> 352613 date 01-03-2021 to 01-09-2021, total is calculated my adding each day business.</a:t>
          </a:r>
        </a:p>
        <a:p>
          <a:r>
            <a:rPr lang="en-US" sz="1100" baseline="0"/>
            <a:t>from 7th 352613 was completely transferred to 01-07-2021.</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E801D1-1BE8-4984-819C-7D9DA4618E0D}" name="Table243" displayName="Table243" ref="A1:CG372" totalsRowShown="0" headerRowDxfId="11" tableBorderDxfId="10">
  <autoFilter ref="A1:CG372" xr:uid="{ECFFD3C0-34EB-4946-AFF9-01E2A18E08CB}"/>
  <tableColumns count="85">
    <tableColumn id="1" xr3:uid="{881871AA-9ACD-4713-9F24-5C19CF9973B4}" name="Store Number "/>
    <tableColumn id="2" xr3:uid="{35BD6BA9-F31F-410E-80B4-A6F69F5BA8F0}" name="Start Business Date" dataDxfId="9"/>
    <tableColumn id="3" xr3:uid="{69756C83-F1FB-433C-BD50-30BFC2CEB647}" name="End Business Date" dataDxfId="8"/>
    <tableColumn id="4" xr3:uid="{74410C77-0A8B-4D65-A6C3-8938A16F80DA}" name="D-Espresso Subtotal Qty"/>
    <tableColumn id="5" xr3:uid="{BE4995FE-0421-47D8-9D2B-2A625E746AFC}" name="D-Espresso Subtotal"/>
    <tableColumn id="6" xr3:uid="{6E16CE6D-3DBA-432C-9B69-0E6C17330D31}" name="D-Beverage Subtotal"/>
    <tableColumn id="7" xr3:uid="{F44C9D31-C39A-4040-8C58-756C121C4AD0}" name="D-Donuts Subtotal"/>
    <tableColumn id="8" xr3:uid="{B04DD59E-A0DA-4E55-97DA-64BABF83A143}" name="D-Sandwich Subtotal"/>
    <tableColumn id="9" xr3:uid="{B4A75314-E3A7-45D1-AAA0-37EE9E6E9C90}" name="D-Bagel &amp; CC Subtotal"/>
    <tableColumn id="10" xr3:uid="{944B3CB1-9995-4A45-A7E5-B00AD12880E8}" name="DD-Retail Net Sales"/>
    <tableColumn id="11" xr3:uid="{C657BBBD-415F-4BB7-978F-A465295158FE}" name="BR-Retail Net Sales"/>
    <tableColumn id="12" xr3:uid="{3F7287D5-861D-43E8-8E12-90783B45DCD2}" name="Trans Count Qty"/>
    <tableColumn id="13" xr3:uid="{4E95EE84-8AEA-4F72-8C62-F80573207147}" name="BR-Retail Gross Sales"/>
    <tableColumn id="14" xr3:uid="{89B06839-46A1-4FBE-84F9-1B44E7C53F46}" name="DD-Retail Gross Sales"/>
    <tableColumn id="15" xr3:uid="{C37B3F49-2CDA-4D3B-A5F3-5E98F2CC63A3}" name="Refunds (-) Qty"/>
    <tableColumn id="16" xr3:uid="{10C554C2-8083-4C9F-B75D-8F35BB1FC599}" name="Refunds (-) Amount"/>
    <tableColumn id="17" xr3:uid="{4980F709-A05F-4984-ABBE-EFC52FEAF83D}" name="Discounts (-) Qty"/>
    <tableColumn id="18" xr3:uid="{FA573C5C-339C-44A0-86A4-24E9B0E4ADB7}" name="Discounts (-) Amount"/>
    <tableColumn id="19" xr3:uid="{70AA19AD-C767-43AD-9436-A8D23E6432E4}" name="Coupons (-) Qty"/>
    <tableColumn id="20" xr3:uid="{89B3D06D-74CC-4FC1-9DE1-8841A78E10A2}" name="Coupons (-) Amount"/>
    <tableColumn id="21" xr3:uid="{F0B7A420-1D4C-4CD2-ACD9-1C586BBB078A}" name="Net AutoDetect Disc. (-) Amount"/>
    <tableColumn id="22" xr3:uid="{FD984897-A0CA-4A93-84A8-3C87C4D0A0F0}" name="Gift Card Sales Qty"/>
    <tableColumn id="23" xr3:uid="{23F8B1AF-3152-4B80-86F4-3A5972CA290A}" name="Gift Card Sales Amount"/>
    <tableColumn id="24" xr3:uid="{7474F6EA-9A78-4D8F-B37D-6F122B675497}" name="No Sale Transactions Qty"/>
    <tableColumn id="25" xr3:uid="{9393DB75-1E1F-4E26-9D3D-9038BDAFAD4E}" name="No Sale Transactions Amount"/>
    <tableColumn id="26" xr3:uid="{A024EB13-EEF6-40A0-8E1A-9A7CBB0D3346}" name="Item Deletions Before Total Qty"/>
    <tableColumn id="27" xr3:uid="{48570312-F3DB-4707-9137-094D181FA9B2}" name="Item Deletions Before Total Amount"/>
    <tableColumn id="28" xr3:uid="{5DD2DFF0-F396-4269-BA36-13BAA1F13E5E}" name="Item Deletions After Total Qty"/>
    <tableColumn id="29" xr3:uid="{B0E570A8-1DFE-49A3-87C6-730DA0445868}" name="Item Deletions After Total Amount"/>
    <tableColumn id="30" xr3:uid="{12DBDEA0-6578-4C10-A0CF-1E38245F32D0}" name="Cancelled Transactions Qty"/>
    <tableColumn id="31" xr3:uid="{467A52B2-27D5-4851-9DC0-579417579E64}" name="Cancelled Transactions Amount"/>
    <tableColumn id="32" xr3:uid="{2DC90F29-7F10-4C02-81B5-6C3A26387376}" name="Tracked Fee Exempt Net Sales"/>
    <tableColumn id="33" xr3:uid="{1A682F6A-DC35-431C-95B6-121F48862BA6}" name="Charity Net Sales"/>
    <tableColumn id="34" xr3:uid="{EBF996C6-DC06-4297-A785-F9C2F7774394}" name="Paid Ins (+)"/>
    <tableColumn id="35" xr3:uid="{2E8D9B06-1B3C-4069-AC89-1FB4D10058CA}" name="Gift Certificate Sales"/>
    <tableColumn id="36" xr3:uid="{2E4DCE97-34A0-4224-ABE0-FE6152359404}" name="Sales Tax (+)"/>
    <tableColumn id="37" xr3:uid="{994CE0A6-CB7F-454B-A3CC-07BC44DDAA56}" name="Sales Tax (+) Percentage"/>
    <tableColumn id="38" xr3:uid="{F3172B7E-CF8F-429A-82A7-E2F9129F0AA6}" name="Taxable Sales"/>
    <tableColumn id="39" xr3:uid="{DB912AC1-E908-4DAF-A2A7-587F39602BD7}" name="Non Taxable Sales"/>
    <tableColumn id="40" xr3:uid="{55927526-8272-4E7C-B6DC-FAA171295DBA}" name="Deposit Total (+)"/>
    <tableColumn id="41" xr3:uid="{198986A7-06AB-4617-AB61-14EA2AB293AB}" name="Paid Out (-)"/>
    <tableColumn id="42" xr3:uid="{655B0C1B-FFA6-4480-8E7D-0123969FBBBE}" name="Over / Short"/>
    <tableColumn id="43" xr3:uid="{A142B3DC-30F9-4AA9-979C-6451824747EE}" name="MasterCard Qty"/>
    <tableColumn id="44" xr3:uid="{A651E998-F9DE-4055-B22C-92AAE3B0330B}" name="MasterCard Amount"/>
    <tableColumn id="45" xr3:uid="{325F83E8-A0FC-4231-A6B0-D5A51D80BD35}" name="Visa Qty"/>
    <tableColumn id="46" xr3:uid="{7D700629-C8FB-4A48-B675-201D6213EF07}" name="Visa Amount"/>
    <tableColumn id="47" xr3:uid="{7D74B0A9-1B14-483B-B696-B13B9C763BF2}" name="American Express Qty"/>
    <tableColumn id="48" xr3:uid="{71D9C962-36AC-4C6C-8A85-FBD84290B56B}" name="American Express Amount"/>
    <tableColumn id="49" xr3:uid="{0A310205-2192-44DD-ACA6-BED7F5186BEC}" name="Discover (NOVIS) Qty"/>
    <tableColumn id="50" xr3:uid="{E7204ED1-2FE1-4595-A132-51B5CBD98DDE}" name="Discover (NOVIS) Amount"/>
    <tableColumn id="51" xr3:uid="{3D5E5515-1CCA-4FB2-89D0-DAD14BE85D45}" name="Gift Card Qty"/>
    <tableColumn id="52" xr3:uid="{F77FF620-62E3-4ACA-BD02-D34456420D20}" name="Gift Card Amount"/>
    <tableColumn id="53" xr3:uid="{C2F58FFC-3BD5-4402-BC96-B80B91768814}" name="External Discover (NOVIS) Qty"/>
    <tableColumn id="54" xr3:uid="{6109B091-9B5C-4E39-B733-1A73D10FDD15}" name="External Discover (NOVIS) Amount"/>
    <tableColumn id="55" xr3:uid="{E6C801A0-D1FF-41AA-B41B-993EC0C8B4BC}" name="External Amex Qty"/>
    <tableColumn id="56" xr3:uid="{EE2371C5-B3EB-4784-AB2E-A5A80A734B3B}" name="External Amex Amount"/>
    <tableColumn id="57" xr3:uid="{792EEB04-E008-487B-BE9D-FFBB03552D2C}" name="External Gift Card Qty"/>
    <tableColumn id="58" xr3:uid="{99FD589D-69B3-4263-9242-C6389055E9E6}" name="External Gift Card Amount"/>
    <tableColumn id="59" xr3:uid="{0254D1A4-D24D-49ED-B2F7-175B39E16310}" name="External Mastercard Qty"/>
    <tableColumn id="60" xr3:uid="{61467534-0BB2-49E1-A518-314C85FFC7D0}" name="External Mastercard Amount"/>
    <tableColumn id="61" xr3:uid="{057CC216-2F91-4CAD-8EA4-56B1301FBB22}" name="External Order Qty"/>
    <tableColumn id="62" xr3:uid="{F1C69141-0B21-435D-8448-210AB3A60FF9}" name="External Order Amount"/>
    <tableColumn id="63" xr3:uid="{7A7C3D99-125E-4BAF-ADFD-A1A9EDC98635}" name="External Visa Qty"/>
    <tableColumn id="64" xr3:uid="{E8687F5C-F7CF-4C23-814A-4210EEAA0149}" name="External Visa  Amount"/>
    <tableColumn id="65" xr3:uid="{185D1B31-9FE1-4A4D-9EEC-1FD27DA8CE64}" name="Delivery:Grubhub Qty"/>
    <tableColumn id="66" xr3:uid="{28F8192D-E9D5-4BD0-AF03-61D5D1314892}" name="Delivery:Grubhub Amount"/>
    <tableColumn id="67" xr3:uid="{BB50E673-8021-416E-B178-85D6606F25EF}" name="Delivery:Grubhub Net Sales"/>
    <tableColumn id="68" xr3:uid="{4A6838F2-C39E-46B0-B54C-D40E2479F9B5}" name="Delivery:Uber Eats Qty"/>
    <tableColumn id="69" xr3:uid="{E1CBD1CB-07C8-4314-A8F3-1198406BDC77}" name="Delivery:Uber Eats Amount"/>
    <tableColumn id="70" xr3:uid="{5FE4DB15-36F8-4F3B-8333-0B8FCD72C6DB}" name="Delivery:Uber Eats Net Sales"/>
    <tableColumn id="71" xr3:uid="{5C5C42E8-0F09-4A6B-AC47-A4378BCE18FB}" name="TotalCrunchMenuMix"/>
    <tableColumn id="72" xr3:uid="{DBB2AE31-18FB-418D-9250-EBD0B658F644}" name="OTGO Tender qty"/>
    <tableColumn id="73" xr3:uid="{AD7A7ADD-1BCD-4A30-B46D-50EC46211284}" name="OTGO Tender Amount"/>
    <tableColumn id="74" xr3:uid="{BC7567D6-F794-40AF-987A-737BF63ECC68}" name="Outstanding"/>
    <tableColumn id="75" xr3:uid="{E997AB4A-23C3-49AE-A8D9-D9DB949E0A5B}" name="Carried Over"/>
    <tableColumn id="76" xr3:uid="{4A11DCB2-8F1F-4CF7-B2A6-8B32CDDEFACA}" name="Misc. O/S Description"/>
    <tableColumn id="77" xr3:uid="{07CAA1C4-ECCD-4A9D-9B14-35C0D8B3405C}" name="Misc O/S Amt"/>
    <tableColumn id="78" xr3:uid="{57311E09-287F-4D10-91A4-644191EBEC59}" name="Islock"/>
    <tableColumn id="79" xr3:uid="{362647DA-7791-45F3-8323-7E92ACCF0EF6}" name="DoorDash Tender Qty"/>
    <tableColumn id="80" xr3:uid="{65026DFE-2334-4536-AEBB-68C23D374BE5}" name="DoorDash Tender Amount"/>
    <tableColumn id="81" xr3:uid="{89D7C94F-6B2A-4183-BEEF-3C7FB7833AB9}" name="Delivery Qty"/>
    <tableColumn id="82" xr3:uid="{0629CD89-FC70-418F-938F-9CCF79A36BC5}" name="Delivery Amount"/>
    <tableColumn id="83" xr3:uid="{00F966E6-504E-42E8-A4EC-8FFD89F9720F}" name="Online Order Tender Qty"/>
    <tableColumn id="84" xr3:uid="{C510BEBC-9CF6-4DF3-BB69-5C366EDBCE58}" name="Online Order Tender Amount"/>
    <tableColumn id="85" xr3:uid="{DEC0DFD5-27A9-49EB-B23B-CC7860D2D603}" name="Mansi Raja Q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85F233-DB7D-42B7-B6F9-EA150B305AA7}" name="Table3" displayName="Table3" ref="A1:F97" totalsRowShown="0" headerRowDxfId="7">
  <autoFilter ref="A1:F97" xr:uid="{E6348C5F-6E36-4300-8F2B-491910083CEB}"/>
  <tableColumns count="6">
    <tableColumn id="1" xr3:uid="{659DC8AF-0C73-4B96-BF3F-9D1BE84A9B65}" name="Date of Report" dataDxfId="6"/>
    <tableColumn id="2" xr3:uid="{5B5E65C4-F807-42EB-A297-708E4FBEC286}" name="Start Date"/>
    <tableColumn id="3" xr3:uid="{37F8D3C3-DEDB-4422-827A-4E454D22673F}" name="Date"/>
    <tableColumn id="4" xr3:uid="{D7E19273-3679-49EF-A754-32B91C87D761}" name="Store"/>
    <tableColumn id="5" xr3:uid="{96FD7E27-5BAE-4548-8527-50A5AB04C2B1}" name="Refund" dataDxfId="5"/>
    <tableColumn id="6" xr3:uid="{E0AAD177-08E9-4EA1-ABD3-4871AD28CD77}" name="Gift Card Sales" dataDxfId="4"/>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8FEB8-DE0D-4844-8511-773A8DA52D0D}" name="Table1" displayName="Table1" ref="A1:C127" totalsRowShown="0" headerRowDxfId="3">
  <autoFilter ref="A1:C127" xr:uid="{BAE6E6B2-0042-432B-AAFA-144C096D8AAF}">
    <filterColumn colId="0">
      <filters>
        <dateGroupItem year="2021" month="1" day="30" dateTimeGrouping="day"/>
      </filters>
    </filterColumn>
  </autoFilter>
  <tableColumns count="3">
    <tableColumn id="1" xr3:uid="{BADFAA0C-B378-457B-8BD9-0B82ABAF5FC2}" name="Entry Date (24hrs EST)" dataDxfId="2"/>
    <tableColumn id="4" xr3:uid="{8F88A394-0009-4279-9E2D-2060280D3AA8}" name="Store" dataDxfId="1"/>
    <tableColumn id="5" xr3:uid="{4D9E6F17-9D9C-459D-B160-FDC40B126CC1}" name="Store not closed from"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8.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4.emf"/><Relationship Id="rId4" Type="http://schemas.openxmlformats.org/officeDocument/2006/relationships/image" Target="../media/image11.emf"/><Relationship Id="rId9" Type="http://schemas.openxmlformats.org/officeDocument/2006/relationships/control" Target="../activeX/activeX11.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5.emf"/><Relationship Id="rId18"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control" Target="../activeX/activeX24.xml"/><Relationship Id="rId20"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19.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1.xml"/><Relationship Id="rId19" Type="http://schemas.openxmlformats.org/officeDocument/2006/relationships/image" Target="../media/image28.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34.emf"/><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2.emf"/></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E11F7-87E8-4952-9942-B566A4952FA0}">
  <sheetPr codeName="Sheet1"/>
  <dimension ref="A1"/>
  <sheetViews>
    <sheetView workbookViewId="0">
      <selection activeCell="F23" sqref="F23"/>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6</xdr:col>
                <xdr:colOff>12700</xdr:colOff>
                <xdr:row>12</xdr:row>
                <xdr:rowOff>152400</xdr:rowOff>
              </from>
              <to>
                <xdr:col>10</xdr:col>
                <xdr:colOff>0</xdr:colOff>
                <xdr:row>17</xdr:row>
                <xdr:rowOff>19050</xdr:rowOff>
              </to>
            </anchor>
          </controlPr>
        </control>
      </mc:Choice>
      <mc:Fallback>
        <control shapeId="2052" r:id="rId4" name="CommandButton1"/>
      </mc:Fallback>
    </mc:AlternateContent>
    <mc:AlternateContent xmlns:mc="http://schemas.openxmlformats.org/markup-compatibility/2006">
      <mc:Choice Requires="x14">
        <control shapeId="2049" r:id="rId6" name="Button 1">
          <controlPr defaultSize="0" print="0" autoFill="0" autoPict="0" macro="[0]!_xludf.paste">
            <anchor moveWithCells="1" sizeWithCells="1">
              <from>
                <xdr:col>10</xdr:col>
                <xdr:colOff>527050</xdr:colOff>
                <xdr:row>0</xdr:row>
                <xdr:rowOff>127000</xdr:rowOff>
              </from>
              <to>
                <xdr:col>12</xdr:col>
                <xdr:colOff>552450</xdr:colOff>
                <xdr:row>3</xdr:row>
                <xdr:rowOff>12700</xdr:rowOff>
              </to>
            </anchor>
          </controlPr>
        </control>
      </mc:Choice>
    </mc:AlternateContent>
    <mc:AlternateContent xmlns:mc="http://schemas.openxmlformats.org/markup-compatibility/2006">
      <mc:Choice Requires="x14">
        <control shapeId="2050" r:id="rId7" name="Button 2">
          <controlPr defaultSize="0" print="0" autoFill="0" autoPict="0" macro="[0]!_xludf.clear">
            <anchor moveWithCells="1" sizeWithCells="1">
              <from>
                <xdr:col>6</xdr:col>
                <xdr:colOff>527050</xdr:colOff>
                <xdr:row>7</xdr:row>
                <xdr:rowOff>69850</xdr:rowOff>
              </from>
              <to>
                <xdr:col>9</xdr:col>
                <xdr:colOff>565150</xdr:colOff>
                <xdr:row>10</xdr:row>
                <xdr:rowOff>76200</xdr:rowOff>
              </to>
            </anchor>
          </controlPr>
        </control>
      </mc:Choice>
    </mc:AlternateContent>
    <mc:AlternateContent xmlns:mc="http://schemas.openxmlformats.org/markup-compatibility/2006">
      <mc:Choice Requires="x14">
        <control shapeId="2051" r:id="rId8" name="Button 3">
          <controlPr defaultSize="0" print="0" autoFill="0" autoPict="0" macro="[0]!posFilter">
            <anchor moveWithCells="1" sizeWithCells="1">
              <from>
                <xdr:col>14</xdr:col>
                <xdr:colOff>209550</xdr:colOff>
                <xdr:row>4</xdr:row>
                <xdr:rowOff>127000</xdr:rowOff>
              </from>
              <to>
                <xdr:col>17</xdr:col>
                <xdr:colOff>431800</xdr:colOff>
                <xdr:row>6</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63A56-33F9-4550-8DE6-3C94ABE9FF53}">
  <sheetPr codeName="Sheet7"/>
  <dimension ref="A1"/>
  <sheetViews>
    <sheetView tabSelected="1"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6150" r:id="rId3" name="CommandButton6">
          <controlPr defaultSize="0" autoLine="0" r:id="rId4">
            <anchor moveWithCells="1">
              <from>
                <xdr:col>11</xdr:col>
                <xdr:colOff>495300</xdr:colOff>
                <xdr:row>21</xdr:row>
                <xdr:rowOff>88900</xdr:rowOff>
              </from>
              <to>
                <xdr:col>19</xdr:col>
                <xdr:colOff>190500</xdr:colOff>
                <xdr:row>25</xdr:row>
                <xdr:rowOff>152400</xdr:rowOff>
              </to>
            </anchor>
          </controlPr>
        </control>
      </mc:Choice>
      <mc:Fallback>
        <control shapeId="6150" r:id="rId3" name="CommandButton6"/>
      </mc:Fallback>
    </mc:AlternateContent>
    <mc:AlternateContent xmlns:mc="http://schemas.openxmlformats.org/markup-compatibility/2006">
      <mc:Choice Requires="x14">
        <control shapeId="6149" r:id="rId5" name="CommandButton5">
          <controlPr defaultSize="0" autoLine="0" r:id="rId6">
            <anchor moveWithCells="1">
              <from>
                <xdr:col>11</xdr:col>
                <xdr:colOff>431800</xdr:colOff>
                <xdr:row>10</xdr:row>
                <xdr:rowOff>165100</xdr:rowOff>
              </from>
              <to>
                <xdr:col>19</xdr:col>
                <xdr:colOff>361950</xdr:colOff>
                <xdr:row>14</xdr:row>
                <xdr:rowOff>88900</xdr:rowOff>
              </to>
            </anchor>
          </controlPr>
        </control>
      </mc:Choice>
      <mc:Fallback>
        <control shapeId="6149" r:id="rId5" name="CommandButton5"/>
      </mc:Fallback>
    </mc:AlternateContent>
    <mc:AlternateContent xmlns:mc="http://schemas.openxmlformats.org/markup-compatibility/2006">
      <mc:Choice Requires="x14">
        <control shapeId="6147" r:id="rId7" name="CommandButton3">
          <controlPr defaultSize="0" disabled="1" autoLine="0" r:id="rId8">
            <anchor moveWithCells="1">
              <from>
                <xdr:col>27</xdr:col>
                <xdr:colOff>298450</xdr:colOff>
                <xdr:row>6</xdr:row>
                <xdr:rowOff>165100</xdr:rowOff>
              </from>
              <to>
                <xdr:col>31</xdr:col>
                <xdr:colOff>82550</xdr:colOff>
                <xdr:row>9</xdr:row>
                <xdr:rowOff>177800</xdr:rowOff>
              </to>
            </anchor>
          </controlPr>
        </control>
      </mc:Choice>
      <mc:Fallback>
        <control shapeId="6147" r:id="rId7" name="CommandButton3"/>
      </mc:Fallback>
    </mc:AlternateContent>
    <mc:AlternateContent xmlns:mc="http://schemas.openxmlformats.org/markup-compatibility/2006">
      <mc:Choice Requires="x14">
        <control shapeId="6146" r:id="rId9" name="CommandButton2">
          <controlPr defaultSize="0" disabled="1" autoLine="0" r:id="rId10">
            <anchor moveWithCells="1">
              <from>
                <xdr:col>27</xdr:col>
                <xdr:colOff>69850</xdr:colOff>
                <xdr:row>1</xdr:row>
                <xdr:rowOff>50800</xdr:rowOff>
              </from>
              <to>
                <xdr:col>31</xdr:col>
                <xdr:colOff>19050</xdr:colOff>
                <xdr:row>4</xdr:row>
                <xdr:rowOff>69850</xdr:rowOff>
              </to>
            </anchor>
          </controlPr>
        </control>
      </mc:Choice>
      <mc:Fallback>
        <control shapeId="6146" r:id="rId9" name="CommandButton2"/>
      </mc:Fallback>
    </mc:AlternateContent>
    <mc:AlternateContent xmlns:mc="http://schemas.openxmlformats.org/markup-compatibility/2006">
      <mc:Choice Requires="x14">
        <control shapeId="6145" r:id="rId11" name="CommandButton1">
          <controlPr defaultSize="0" autoLine="0" autoPict="0" r:id="rId12">
            <anchor moveWithCells="1">
              <from>
                <xdr:col>12</xdr:col>
                <xdr:colOff>374650</xdr:colOff>
                <xdr:row>3</xdr:row>
                <xdr:rowOff>184150</xdr:rowOff>
              </from>
              <to>
                <xdr:col>17</xdr:col>
                <xdr:colOff>393700</xdr:colOff>
                <xdr:row>7</xdr:row>
                <xdr:rowOff>50800</xdr:rowOff>
              </to>
            </anchor>
          </controlPr>
        </control>
      </mc:Choice>
      <mc:Fallback>
        <control shapeId="6145" r:id="rId11" name="CommandButton1"/>
      </mc:Fallback>
    </mc:AlternateContent>
    <mc:AlternateContent xmlns:mc="http://schemas.openxmlformats.org/markup-compatibility/2006">
      <mc:Choice Requires="x14">
        <control shapeId="6148" r:id="rId13" name="CommandButton4">
          <controlPr defaultSize="0" disabled="1" autoLine="0" r:id="rId14">
            <anchor moveWithCells="1">
              <from>
                <xdr:col>25</xdr:col>
                <xdr:colOff>546100</xdr:colOff>
                <xdr:row>20</xdr:row>
                <xdr:rowOff>12700</xdr:rowOff>
              </from>
              <to>
                <xdr:col>33</xdr:col>
                <xdr:colOff>25400</xdr:colOff>
                <xdr:row>23</xdr:row>
                <xdr:rowOff>114300</xdr:rowOff>
              </to>
            </anchor>
          </controlPr>
        </control>
      </mc:Choice>
      <mc:Fallback>
        <control shapeId="6148" r:id="rId13"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4AFC-FCAF-4BCB-9FF9-9C3638D9FA52}">
  <sheetPr codeName="Sheet2"/>
  <dimension ref="A1"/>
  <sheetViews>
    <sheetView zoomScale="115" zoomScaleNormal="115"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8198" r:id="rId3" name="CommandButton6">
          <controlPr defaultSize="0" autoLine="0" r:id="rId4">
            <anchor moveWithCells="1">
              <from>
                <xdr:col>13</xdr:col>
                <xdr:colOff>603250</xdr:colOff>
                <xdr:row>26</xdr:row>
                <xdr:rowOff>12700</xdr:rowOff>
              </from>
              <to>
                <xdr:col>20</xdr:col>
                <xdr:colOff>247650</xdr:colOff>
                <xdr:row>30</xdr:row>
                <xdr:rowOff>107950</xdr:rowOff>
              </to>
            </anchor>
          </controlPr>
        </control>
      </mc:Choice>
      <mc:Fallback>
        <control shapeId="8198" r:id="rId3" name="CommandButton6"/>
      </mc:Fallback>
    </mc:AlternateContent>
    <mc:AlternateContent xmlns:mc="http://schemas.openxmlformats.org/markup-compatibility/2006">
      <mc:Choice Requires="x14">
        <control shapeId="8197" r:id="rId5" name="CommandButton5">
          <controlPr defaultSize="0" autoLine="0" r:id="rId6">
            <anchor moveWithCells="1">
              <from>
                <xdr:col>13</xdr:col>
                <xdr:colOff>508000</xdr:colOff>
                <xdr:row>15</xdr:row>
                <xdr:rowOff>88900</xdr:rowOff>
              </from>
              <to>
                <xdr:col>22</xdr:col>
                <xdr:colOff>533400</xdr:colOff>
                <xdr:row>21</xdr:row>
                <xdr:rowOff>101600</xdr:rowOff>
              </to>
            </anchor>
          </controlPr>
        </control>
      </mc:Choice>
      <mc:Fallback>
        <control shapeId="8197" r:id="rId5" name="CommandButton5"/>
      </mc:Fallback>
    </mc:AlternateContent>
    <mc:AlternateContent xmlns:mc="http://schemas.openxmlformats.org/markup-compatibility/2006">
      <mc:Choice Requires="x14">
        <control shapeId="8194" r:id="rId7" name="CommandButton2">
          <controlPr defaultSize="0" disabled="1" autoLine="0" r:id="rId8">
            <anchor moveWithCells="1">
              <from>
                <xdr:col>38</xdr:col>
                <xdr:colOff>209550</xdr:colOff>
                <xdr:row>1</xdr:row>
                <xdr:rowOff>31750</xdr:rowOff>
              </from>
              <to>
                <xdr:col>41</xdr:col>
                <xdr:colOff>114300</xdr:colOff>
                <xdr:row>4</xdr:row>
                <xdr:rowOff>127000</xdr:rowOff>
              </to>
            </anchor>
          </controlPr>
        </control>
      </mc:Choice>
      <mc:Fallback>
        <control shapeId="8194" r:id="rId7" name="CommandButton2"/>
      </mc:Fallback>
    </mc:AlternateContent>
    <mc:AlternateContent xmlns:mc="http://schemas.openxmlformats.org/markup-compatibility/2006">
      <mc:Choice Requires="x14">
        <control shapeId="8193" r:id="rId9" name="CommandButton1">
          <controlPr defaultSize="0" autoLine="0" r:id="rId10">
            <anchor moveWithCells="1">
              <from>
                <xdr:col>13</xdr:col>
                <xdr:colOff>584200</xdr:colOff>
                <xdr:row>4</xdr:row>
                <xdr:rowOff>50800</xdr:rowOff>
              </from>
              <to>
                <xdr:col>18</xdr:col>
                <xdr:colOff>355600</xdr:colOff>
                <xdr:row>11</xdr:row>
                <xdr:rowOff>146050</xdr:rowOff>
              </to>
            </anchor>
          </controlPr>
        </control>
      </mc:Choice>
      <mc:Fallback>
        <control shapeId="8193" r:id="rId9" name="CommandButton1"/>
      </mc:Fallback>
    </mc:AlternateContent>
    <mc:AlternateContent xmlns:mc="http://schemas.openxmlformats.org/markup-compatibility/2006">
      <mc:Choice Requires="x14">
        <control shapeId="8195" r:id="rId11" name="CommandButton3">
          <controlPr defaultSize="0" autoLine="0" autoPict="0" r:id="rId12">
            <anchor moveWithCells="1">
              <from>
                <xdr:col>25</xdr:col>
                <xdr:colOff>546100</xdr:colOff>
                <xdr:row>3</xdr:row>
                <xdr:rowOff>171450</xdr:rowOff>
              </from>
              <to>
                <xdr:col>28</xdr:col>
                <xdr:colOff>0</xdr:colOff>
                <xdr:row>7</xdr:row>
                <xdr:rowOff>50800</xdr:rowOff>
              </to>
            </anchor>
          </controlPr>
        </control>
      </mc:Choice>
      <mc:Fallback>
        <control shapeId="8195" r:id="rId11" name="CommandButton3"/>
      </mc:Fallback>
    </mc:AlternateContent>
    <mc:AlternateContent xmlns:mc="http://schemas.openxmlformats.org/markup-compatibility/2006">
      <mc:Choice Requires="x14">
        <control shapeId="8196" r:id="rId13" name="CommandButton4">
          <controlPr defaultSize="0" disabled="1" autoLine="0" r:id="rId14">
            <anchor moveWithCells="1">
              <from>
                <xdr:col>37</xdr:col>
                <xdr:colOff>450850</xdr:colOff>
                <xdr:row>21</xdr:row>
                <xdr:rowOff>127000</xdr:rowOff>
              </from>
              <to>
                <xdr:col>46</xdr:col>
                <xdr:colOff>317500</xdr:colOff>
                <xdr:row>27</xdr:row>
                <xdr:rowOff>25400</xdr:rowOff>
              </to>
            </anchor>
          </controlPr>
        </control>
      </mc:Choice>
      <mc:Fallback>
        <control shapeId="8196" r:id="rId13" name="CommandButton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1E6AD-BD15-42E9-8A92-E42E8460D739}">
  <sheetPr codeName="Sheet4"/>
  <dimension ref="A1"/>
  <sheetViews>
    <sheetView workbookViewId="0">
      <selection activeCell="G15" sqref="G15"/>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drawing r:id="rId1"/>
  <legacyDrawing r:id="rId2"/>
  <controls>
    <mc:AlternateContent xmlns:mc="http://schemas.openxmlformats.org/markup-compatibility/2006">
      <mc:Choice Requires="x14">
        <control shapeId="11268" r:id="rId3" name="CommandButton4">
          <controlPr defaultSize="0" autoLine="0" r:id="rId4">
            <anchor moveWithCells="1">
              <from>
                <xdr:col>9</xdr:col>
                <xdr:colOff>165100</xdr:colOff>
                <xdr:row>12</xdr:row>
                <xdr:rowOff>50800</xdr:rowOff>
              </from>
              <to>
                <xdr:col>14</xdr:col>
                <xdr:colOff>361950</xdr:colOff>
                <xdr:row>16</xdr:row>
                <xdr:rowOff>177800</xdr:rowOff>
              </to>
            </anchor>
          </controlPr>
        </control>
      </mc:Choice>
      <mc:Fallback>
        <control shapeId="11268" r:id="rId3" name="CommandButton4"/>
      </mc:Fallback>
    </mc:AlternateContent>
    <mc:AlternateContent xmlns:mc="http://schemas.openxmlformats.org/markup-compatibility/2006">
      <mc:Choice Requires="x14">
        <control shapeId="11267" r:id="rId5" name="CommandButton3">
          <controlPr defaultSize="0" autoLine="0" r:id="rId6">
            <anchor moveWithCells="1">
              <from>
                <xdr:col>16</xdr:col>
                <xdr:colOff>546100</xdr:colOff>
                <xdr:row>2</xdr:row>
                <xdr:rowOff>165100</xdr:rowOff>
              </from>
              <to>
                <xdr:col>22</xdr:col>
                <xdr:colOff>469900</xdr:colOff>
                <xdr:row>6</xdr:row>
                <xdr:rowOff>101600</xdr:rowOff>
              </to>
            </anchor>
          </controlPr>
        </control>
      </mc:Choice>
      <mc:Fallback>
        <control shapeId="11267" r:id="rId5" name="CommandButton3"/>
      </mc:Fallback>
    </mc:AlternateContent>
    <mc:AlternateContent xmlns:mc="http://schemas.openxmlformats.org/markup-compatibility/2006">
      <mc:Choice Requires="x14">
        <control shapeId="11265" r:id="rId7" name="CommandButton1">
          <controlPr defaultSize="0" autoLine="0" r:id="rId8">
            <anchor moveWithCells="1">
              <from>
                <xdr:col>9</xdr:col>
                <xdr:colOff>488950</xdr:colOff>
                <xdr:row>4</xdr:row>
                <xdr:rowOff>146050</xdr:rowOff>
              </from>
              <to>
                <xdr:col>13</xdr:col>
                <xdr:colOff>400050</xdr:colOff>
                <xdr:row>8</xdr:row>
                <xdr:rowOff>114300</xdr:rowOff>
              </to>
            </anchor>
          </controlPr>
        </control>
      </mc:Choice>
      <mc:Fallback>
        <control shapeId="11265" r:id="rId7" name="CommandButton1"/>
      </mc:Fallback>
    </mc:AlternateContent>
    <mc:AlternateContent xmlns:mc="http://schemas.openxmlformats.org/markup-compatibility/2006">
      <mc:Choice Requires="x14">
        <control shapeId="11266" r:id="rId9" name="CommandButton2">
          <controlPr defaultSize="0" autoLine="0" r:id="rId10">
            <anchor moveWithCells="1">
              <from>
                <xdr:col>23</xdr:col>
                <xdr:colOff>355600</xdr:colOff>
                <xdr:row>2</xdr:row>
                <xdr:rowOff>12700</xdr:rowOff>
              </from>
              <to>
                <xdr:col>27</xdr:col>
                <xdr:colOff>114300</xdr:colOff>
                <xdr:row>6</xdr:row>
                <xdr:rowOff>177800</xdr:rowOff>
              </to>
            </anchor>
          </controlPr>
        </control>
      </mc:Choice>
      <mc:Fallback>
        <control shapeId="11266" r:id="rId9"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8C359-B298-4902-987F-09A54EE85DF1}">
  <sheetPr codeName="Sheet5"/>
  <dimension ref="A1:M23"/>
  <sheetViews>
    <sheetView workbookViewId="0">
      <selection activeCell="A11" sqref="A11"/>
    </sheetView>
  </sheetViews>
  <sheetFormatPr defaultRowHeight="14.5" x14ac:dyDescent="0.35"/>
  <cols>
    <col min="1" max="1" width="30.54296875" customWidth="1"/>
    <col min="2" max="2" width="22.7265625" customWidth="1"/>
    <col min="3" max="3" width="17.1796875" customWidth="1"/>
    <col min="4" max="4" width="17.453125" customWidth="1"/>
    <col min="5" max="5" width="15.54296875" customWidth="1"/>
    <col min="6" max="6" width="16.1796875" customWidth="1"/>
    <col min="7" max="7" width="18" customWidth="1"/>
    <col min="8" max="8" width="14.54296875" customWidth="1"/>
    <col min="9" max="9" width="22.81640625" customWidth="1"/>
    <col min="10" max="10" width="59.54296875" customWidth="1"/>
    <col min="11" max="11" width="18.81640625" customWidth="1"/>
  </cols>
  <sheetData>
    <row r="1" spans="1:13" ht="15" thickBot="1" x14ac:dyDescent="0.4">
      <c r="A1" t="s">
        <v>83</v>
      </c>
      <c r="E1" t="s">
        <v>81</v>
      </c>
    </row>
    <row r="2" spans="1:13" ht="22" thickTop="1" thickBot="1" x14ac:dyDescent="0.55000000000000004">
      <c r="A2" s="11">
        <v>44227</v>
      </c>
      <c r="E2" s="10">
        <v>44221</v>
      </c>
      <c r="F2" s="12">
        <v>44221</v>
      </c>
      <c r="G2" s="9">
        <v>350437</v>
      </c>
    </row>
    <row r="3" spans="1:13" ht="15" thickTop="1" x14ac:dyDescent="0.35">
      <c r="E3" s="7"/>
      <c r="F3" s="8"/>
      <c r="G3" s="2"/>
      <c r="H3" t="s">
        <v>99</v>
      </c>
    </row>
    <row r="5" spans="1:13" x14ac:dyDescent="0.35">
      <c r="A5" t="s">
        <v>76</v>
      </c>
      <c r="H5" s="2"/>
      <c r="I5" s="2"/>
      <c r="J5" s="2"/>
    </row>
    <row r="6" spans="1:13" x14ac:dyDescent="0.35">
      <c r="A6" s="21" t="s">
        <v>93</v>
      </c>
      <c r="B6" s="4" t="s">
        <v>75</v>
      </c>
      <c r="C6" s="5" t="s">
        <v>74</v>
      </c>
    </row>
    <row r="7" spans="1:13" ht="21.5" thickBot="1" x14ac:dyDescent="0.55000000000000004">
      <c r="A7" t="s">
        <v>124</v>
      </c>
      <c r="B7" s="20">
        <v>354030</v>
      </c>
      <c r="C7" s="13">
        <v>44197</v>
      </c>
      <c r="G7" s="2"/>
    </row>
    <row r="8" spans="1:13" ht="22" customHeight="1" thickTop="1" thickBot="1" x14ac:dyDescent="0.4">
      <c r="A8" s="31" t="s">
        <v>141</v>
      </c>
      <c r="C8" t="s">
        <v>82</v>
      </c>
    </row>
    <row r="9" spans="1:13" ht="15" thickTop="1" x14ac:dyDescent="0.35"/>
    <row r="11" spans="1:13" x14ac:dyDescent="0.35">
      <c r="A11" t="s">
        <v>145</v>
      </c>
    </row>
    <row r="12" spans="1:13" x14ac:dyDescent="0.35">
      <c r="G12" s="2"/>
    </row>
    <row r="14" spans="1:13" x14ac:dyDescent="0.35">
      <c r="M14" t="s">
        <v>111</v>
      </c>
    </row>
    <row r="16" spans="1:13" x14ac:dyDescent="0.35">
      <c r="A16" t="s">
        <v>121</v>
      </c>
    </row>
    <row r="17" spans="1:1" x14ac:dyDescent="0.35">
      <c r="A17" t="s">
        <v>122</v>
      </c>
    </row>
    <row r="18" spans="1:1" x14ac:dyDescent="0.35">
      <c r="A18" t="s">
        <v>123</v>
      </c>
    </row>
    <row r="19" spans="1:1" x14ac:dyDescent="0.35">
      <c r="A19" t="s">
        <v>124</v>
      </c>
    </row>
    <row r="20" spans="1:1" x14ac:dyDescent="0.35">
      <c r="A20" t="s">
        <v>125</v>
      </c>
    </row>
    <row r="21" spans="1:1" x14ac:dyDescent="0.35">
      <c r="A21" t="s">
        <v>120</v>
      </c>
    </row>
    <row r="22" spans="1:1" x14ac:dyDescent="0.35">
      <c r="A22" t="s">
        <v>126</v>
      </c>
    </row>
    <row r="23" spans="1:1" x14ac:dyDescent="0.35">
      <c r="A23" t="s">
        <v>127</v>
      </c>
    </row>
  </sheetData>
  <sheetProtection sort="0" autoFilter="0"/>
  <dataValidations count="2">
    <dataValidation type="list" allowBlank="1" showInputMessage="1" showErrorMessage="1" sqref="G2" xr:uid="{A798C3AE-0E93-46E4-A564-281CFEE348A3}">
      <formula1>"350432,350437,351323,352613,353927,354030,355439,355071,348544,357150,358682,3082,359606"</formula1>
    </dataValidation>
    <dataValidation type="list" allowBlank="1" showInputMessage="1" showErrorMessage="1" sqref="B7" xr:uid="{D187BC7F-F978-446D-8EA4-B51EBF859581}">
      <formula1>"ALL STORES,350432,350437,351323,352613,353927,354030,355439,355071,348544,357150,358682,3082,359606"</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403" r:id="rId4" name="CommandButton9">
          <controlPr defaultSize="0" autoLine="0" r:id="rId5">
            <anchor moveWithCells="1">
              <from>
                <xdr:col>3</xdr:col>
                <xdr:colOff>565150</xdr:colOff>
                <xdr:row>3</xdr:row>
                <xdr:rowOff>127000</xdr:rowOff>
              </from>
              <to>
                <xdr:col>8</xdr:col>
                <xdr:colOff>38100</xdr:colOff>
                <xdr:row>7</xdr:row>
                <xdr:rowOff>203200</xdr:rowOff>
              </to>
            </anchor>
          </controlPr>
        </control>
      </mc:Choice>
      <mc:Fallback>
        <control shapeId="16403" r:id="rId4" name="CommandButton9"/>
      </mc:Fallback>
    </mc:AlternateContent>
    <mc:AlternateContent xmlns:mc="http://schemas.openxmlformats.org/markup-compatibility/2006">
      <mc:Choice Requires="x14">
        <control shapeId="16401" r:id="rId6" name="CommandButton8">
          <controlPr defaultSize="0" disabled="1" autoLine="0" r:id="rId7">
            <anchor moveWithCells="1">
              <from>
                <xdr:col>10</xdr:col>
                <xdr:colOff>0</xdr:colOff>
                <xdr:row>17</xdr:row>
                <xdr:rowOff>38100</xdr:rowOff>
              </from>
              <to>
                <xdr:col>16</xdr:col>
                <xdr:colOff>323850</xdr:colOff>
                <xdr:row>20</xdr:row>
                <xdr:rowOff>165100</xdr:rowOff>
              </to>
            </anchor>
          </controlPr>
        </control>
      </mc:Choice>
      <mc:Fallback>
        <control shapeId="16401" r:id="rId6" name="CommandButton8"/>
      </mc:Fallback>
    </mc:AlternateContent>
    <mc:AlternateContent xmlns:mc="http://schemas.openxmlformats.org/markup-compatibility/2006">
      <mc:Choice Requires="x14">
        <control shapeId="16400" r:id="rId8" name="CommandButton7">
          <controlPr defaultSize="0" autoLine="0" r:id="rId9">
            <anchor moveWithCells="1">
              <from>
                <xdr:col>9</xdr:col>
                <xdr:colOff>1866900</xdr:colOff>
                <xdr:row>3</xdr:row>
                <xdr:rowOff>50800</xdr:rowOff>
              </from>
              <to>
                <xdr:col>9</xdr:col>
                <xdr:colOff>4127500</xdr:colOff>
                <xdr:row>6</xdr:row>
                <xdr:rowOff>215900</xdr:rowOff>
              </to>
            </anchor>
          </controlPr>
        </control>
      </mc:Choice>
      <mc:Fallback>
        <control shapeId="16400" r:id="rId8" name="CommandButton7"/>
      </mc:Fallback>
    </mc:AlternateContent>
    <mc:AlternateContent xmlns:mc="http://schemas.openxmlformats.org/markup-compatibility/2006">
      <mc:Choice Requires="x14">
        <control shapeId="16385" r:id="rId10" name="CommandButton1">
          <controlPr defaultSize="0" disabled="1" autoLine="0" r:id="rId11">
            <anchor moveWithCells="1">
              <from>
                <xdr:col>10</xdr:col>
                <xdr:colOff>88900</xdr:colOff>
                <xdr:row>3</xdr:row>
                <xdr:rowOff>165100</xdr:rowOff>
              </from>
              <to>
                <xdr:col>14</xdr:col>
                <xdr:colOff>361950</xdr:colOff>
                <xdr:row>6</xdr:row>
                <xdr:rowOff>88900</xdr:rowOff>
              </to>
            </anchor>
          </controlPr>
        </control>
      </mc:Choice>
      <mc:Fallback>
        <control shapeId="16385" r:id="rId10" name="CommandButton1"/>
      </mc:Fallback>
    </mc:AlternateContent>
    <mc:AlternateContent xmlns:mc="http://schemas.openxmlformats.org/markup-compatibility/2006">
      <mc:Choice Requires="x14">
        <control shapeId="16386" r:id="rId12" name="CommandButton2">
          <controlPr defaultSize="0" disabled="1" autoLine="0" r:id="rId13">
            <anchor moveWithCells="1">
              <from>
                <xdr:col>15</xdr:col>
                <xdr:colOff>190500</xdr:colOff>
                <xdr:row>4</xdr:row>
                <xdr:rowOff>50800</xdr:rowOff>
              </from>
              <to>
                <xdr:col>17</xdr:col>
                <xdr:colOff>298450</xdr:colOff>
                <xdr:row>6</xdr:row>
                <xdr:rowOff>50800</xdr:rowOff>
              </to>
            </anchor>
          </controlPr>
        </control>
      </mc:Choice>
      <mc:Fallback>
        <control shapeId="16386" r:id="rId12" name="CommandButton2"/>
      </mc:Fallback>
    </mc:AlternateContent>
    <mc:AlternateContent xmlns:mc="http://schemas.openxmlformats.org/markup-compatibility/2006">
      <mc:Choice Requires="x14">
        <control shapeId="16387" r:id="rId14" name="CommandButton3">
          <controlPr defaultSize="0" autoLine="0" r:id="rId15">
            <anchor moveWithCells="1">
              <from>
                <xdr:col>21</xdr:col>
                <xdr:colOff>222250</xdr:colOff>
                <xdr:row>1</xdr:row>
                <xdr:rowOff>260350</xdr:rowOff>
              </from>
              <to>
                <xdr:col>25</xdr:col>
                <xdr:colOff>488950</xdr:colOff>
                <xdr:row>4</xdr:row>
                <xdr:rowOff>19050</xdr:rowOff>
              </to>
            </anchor>
          </controlPr>
        </control>
      </mc:Choice>
      <mc:Fallback>
        <control shapeId="16387" r:id="rId14" name="CommandButton3"/>
      </mc:Fallback>
    </mc:AlternateContent>
    <mc:AlternateContent xmlns:mc="http://schemas.openxmlformats.org/markup-compatibility/2006">
      <mc:Choice Requires="x14">
        <control shapeId="16390" r:id="rId16" name="CommandButton4">
          <controlPr defaultSize="0" autoLine="0" r:id="rId17">
            <anchor moveWithCells="1">
              <from>
                <xdr:col>7</xdr:col>
                <xdr:colOff>279400</xdr:colOff>
                <xdr:row>0</xdr:row>
                <xdr:rowOff>165100</xdr:rowOff>
              </from>
              <to>
                <xdr:col>8</xdr:col>
                <xdr:colOff>1016000</xdr:colOff>
                <xdr:row>2</xdr:row>
                <xdr:rowOff>6350</xdr:rowOff>
              </to>
            </anchor>
          </controlPr>
        </control>
      </mc:Choice>
      <mc:Fallback>
        <control shapeId="16390" r:id="rId16" name="CommandButton4"/>
      </mc:Fallback>
    </mc:AlternateContent>
    <mc:AlternateContent xmlns:mc="http://schemas.openxmlformats.org/markup-compatibility/2006">
      <mc:Choice Requires="x14">
        <control shapeId="16396" r:id="rId18" name="CommandButton5">
          <controlPr defaultSize="0" autoLine="0" r:id="rId19">
            <anchor moveWithCells="1">
              <from>
                <xdr:col>8</xdr:col>
                <xdr:colOff>1327150</xdr:colOff>
                <xdr:row>0</xdr:row>
                <xdr:rowOff>133350</xdr:rowOff>
              </from>
              <to>
                <xdr:col>9</xdr:col>
                <xdr:colOff>2228850</xdr:colOff>
                <xdr:row>2</xdr:row>
                <xdr:rowOff>12700</xdr:rowOff>
              </to>
            </anchor>
          </controlPr>
        </control>
      </mc:Choice>
      <mc:Fallback>
        <control shapeId="16396" r:id="rId18" name="CommandButton5"/>
      </mc:Fallback>
    </mc:AlternateContent>
    <mc:AlternateContent xmlns:mc="http://schemas.openxmlformats.org/markup-compatibility/2006">
      <mc:Choice Requires="x14">
        <control shapeId="16398" r:id="rId20" name="CommandButton6">
          <controlPr defaultSize="0" disabled="1" autoLine="0" r:id="rId21">
            <anchor moveWithCells="1">
              <from>
                <xdr:col>9</xdr:col>
                <xdr:colOff>3917950</xdr:colOff>
                <xdr:row>7</xdr:row>
                <xdr:rowOff>12700</xdr:rowOff>
              </from>
              <to>
                <xdr:col>15</xdr:col>
                <xdr:colOff>393700</xdr:colOff>
                <xdr:row>10</xdr:row>
                <xdr:rowOff>95250</xdr:rowOff>
              </to>
            </anchor>
          </controlPr>
        </control>
      </mc:Choice>
      <mc:Fallback>
        <control shapeId="16398" r:id="rId20" name="CommandButton6"/>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3058-1ADE-4C0B-8C3C-222C317F6A79}">
  <sheetPr codeName="Sheet12"/>
  <dimension ref="A1:CH372"/>
  <sheetViews>
    <sheetView workbookViewId="0">
      <pane xSplit="1" topLeftCell="CB1" activePane="topRight" state="frozen"/>
      <selection pane="topRight" activeCell="CE11" sqref="CE11"/>
    </sheetView>
  </sheetViews>
  <sheetFormatPr defaultRowHeight="14.5" x14ac:dyDescent="0.35"/>
  <cols>
    <col min="1" max="1" width="15" customWidth="1"/>
    <col min="2" max="2" width="19" customWidth="1"/>
    <col min="3" max="3" width="18.1796875" customWidth="1"/>
    <col min="4" max="4" width="23.1796875" customWidth="1"/>
    <col min="5" max="5" width="19.54296875" customWidth="1"/>
    <col min="6" max="6" width="19.81640625" customWidth="1"/>
    <col min="7" max="7" width="18.453125" customWidth="1"/>
    <col min="8" max="8" width="20.1796875" customWidth="1"/>
    <col min="9" max="9" width="21.26953125" customWidth="1"/>
    <col min="10" max="10" width="18.81640625" customWidth="1"/>
    <col min="11" max="11" width="18.453125" customWidth="1"/>
    <col min="12" max="12" width="16.453125" customWidth="1"/>
    <col min="13" max="13" width="20.1796875" customWidth="1"/>
    <col min="14" max="14" width="20.54296875" customWidth="1"/>
    <col min="15" max="15" width="15.453125" customWidth="1"/>
    <col min="16" max="16" width="19.26953125" customWidth="1"/>
    <col min="17" max="17" width="16.81640625" customWidth="1"/>
    <col min="18" max="18" width="20.54296875" customWidth="1"/>
    <col min="19" max="19" width="16" customWidth="1"/>
    <col min="20" max="20" width="19.81640625" customWidth="1"/>
    <col min="21" max="21" width="29.81640625" customWidth="1"/>
    <col min="22" max="22" width="18.453125" customWidth="1"/>
    <col min="23" max="23" width="22.1796875" customWidth="1"/>
    <col min="24" max="24" width="23.54296875" customWidth="1"/>
    <col min="25" max="25" width="27.453125" customWidth="1"/>
    <col min="26" max="26" width="29.26953125" customWidth="1"/>
    <col min="27" max="27" width="33.1796875" customWidth="1"/>
    <col min="28" max="28" width="28" customWidth="1"/>
    <col min="29" max="29" width="31.81640625" customWidth="1"/>
    <col min="30" max="30" width="25.453125" customWidth="1"/>
    <col min="31" max="31" width="29.1796875" customWidth="1"/>
    <col min="32" max="32" width="27.7265625" customWidth="1"/>
    <col min="33" max="33" width="16.81640625" customWidth="1"/>
    <col min="34" max="34" width="12.1796875" customWidth="1"/>
    <col min="35" max="35" width="19.54296875" customWidth="1"/>
    <col min="36" max="36" width="28.54296875" customWidth="1"/>
    <col min="37" max="37" width="22.81640625" customWidth="1"/>
    <col min="38" max="38" width="13.81640625" customWidth="1"/>
    <col min="39" max="39" width="17.81640625" customWidth="1"/>
    <col min="40" max="40" width="16.7265625" customWidth="1"/>
    <col min="41" max="41" width="12.453125" customWidth="1"/>
    <col min="42" max="42" width="13.1796875" customWidth="1"/>
    <col min="43" max="43" width="16.1796875" customWidth="1"/>
    <col min="44" max="44" width="20" customWidth="1"/>
    <col min="45" max="45" width="9.7265625" customWidth="1"/>
    <col min="46" max="46" width="13.54296875" customWidth="1"/>
    <col min="47" max="47" width="21" customWidth="1"/>
    <col min="48" max="48" width="24.81640625" customWidth="1"/>
    <col min="49" max="49" width="20.453125" customWidth="1"/>
    <col min="50" max="50" width="24.1796875" customWidth="1"/>
    <col min="51" max="51" width="13.7265625" customWidth="1"/>
    <col min="52" max="52" width="17.54296875" customWidth="1"/>
    <col min="53" max="53" width="27.7265625" customWidth="1"/>
    <col min="54" max="54" width="31.54296875" customWidth="1"/>
    <col min="55" max="55" width="18.453125" customWidth="1"/>
    <col min="56" max="56" width="22.1796875" customWidth="1"/>
    <col min="57" max="57" width="21.1796875" customWidth="1"/>
    <col min="58" max="58" width="24.81640625" customWidth="1"/>
    <col min="59" max="59" width="23.26953125" customWidth="1"/>
    <col min="60" max="60" width="27.1796875" customWidth="1"/>
    <col min="61" max="61" width="18.54296875" customWidth="1"/>
    <col min="62" max="62" width="22.453125" customWidth="1"/>
    <col min="63" max="63" width="17.1796875" customWidth="1"/>
    <col min="64" max="64" width="21.453125" customWidth="1"/>
    <col min="65" max="65" width="21" customWidth="1"/>
    <col min="66" max="66" width="24.81640625" customWidth="1"/>
    <col min="67" max="67" width="27.7265625" customWidth="1"/>
    <col min="68" max="68" width="21.54296875" customWidth="1"/>
    <col min="69" max="69" width="25.453125" customWidth="1"/>
    <col min="70" max="70" width="31.1796875" customWidth="1"/>
    <col min="71" max="71" width="31.81640625" customWidth="1"/>
    <col min="72" max="72" width="25" customWidth="1"/>
    <col min="73" max="73" width="30.26953125" customWidth="1"/>
    <col min="74" max="74" width="15.7265625" customWidth="1"/>
    <col min="75" max="75" width="14.54296875" customWidth="1"/>
    <col min="76" max="76" width="58.26953125" customWidth="1"/>
    <col min="77" max="77" width="31.1796875" customWidth="1"/>
    <col min="78" max="78" width="19.81640625" customWidth="1"/>
    <col min="79" max="79" width="21.54296875" customWidth="1"/>
    <col min="80" max="80" width="18.81640625" customWidth="1"/>
    <col min="81" max="81" width="22.453125" customWidth="1"/>
    <col min="82" max="82" width="19.54296875" customWidth="1"/>
    <col min="83" max="83" width="25.54296875" customWidth="1"/>
    <col min="84" max="84" width="26.1796875" customWidth="1"/>
    <col min="85" max="86" width="11.81640625" customWidth="1"/>
  </cols>
  <sheetData>
    <row r="1" spans="1:86" x14ac:dyDescent="0.35">
      <c r="A1" s="17" t="s">
        <v>52</v>
      </c>
      <c r="B1" s="3" t="s">
        <v>53</v>
      </c>
      <c r="C1" s="3" t="s">
        <v>54</v>
      </c>
      <c r="D1" s="3" t="s">
        <v>0</v>
      </c>
      <c r="E1" s="3" t="s">
        <v>1</v>
      </c>
      <c r="F1" s="3" t="s">
        <v>2</v>
      </c>
      <c r="G1" s="3" t="s">
        <v>3</v>
      </c>
      <c r="H1" s="3" t="s">
        <v>4</v>
      </c>
      <c r="I1" s="3" t="s">
        <v>5</v>
      </c>
      <c r="J1" s="3" t="s">
        <v>55</v>
      </c>
      <c r="K1" s="3" t="s">
        <v>56</v>
      </c>
      <c r="L1" s="3" t="s">
        <v>57</v>
      </c>
      <c r="M1" s="3" t="s">
        <v>6</v>
      </c>
      <c r="N1" s="3" t="s">
        <v>7</v>
      </c>
      <c r="O1" s="3" t="s">
        <v>8</v>
      </c>
      <c r="P1" s="3" t="s">
        <v>9</v>
      </c>
      <c r="Q1" s="3" t="s">
        <v>10</v>
      </c>
      <c r="R1" s="3" t="s">
        <v>11</v>
      </c>
      <c r="S1" s="3" t="s">
        <v>12</v>
      </c>
      <c r="T1" s="3" t="s">
        <v>13</v>
      </c>
      <c r="U1" s="3" t="s">
        <v>58</v>
      </c>
      <c r="V1" s="3" t="s">
        <v>14</v>
      </c>
      <c r="W1" s="3" t="s">
        <v>15</v>
      </c>
      <c r="X1" s="3" t="s">
        <v>16</v>
      </c>
      <c r="Y1" s="3" t="s">
        <v>17</v>
      </c>
      <c r="Z1" s="3" t="s">
        <v>18</v>
      </c>
      <c r="AA1" s="3" t="s">
        <v>19</v>
      </c>
      <c r="AB1" s="3" t="s">
        <v>20</v>
      </c>
      <c r="AC1" s="3" t="s">
        <v>21</v>
      </c>
      <c r="AD1" s="3" t="s">
        <v>22</v>
      </c>
      <c r="AE1" s="3" t="s">
        <v>23</v>
      </c>
      <c r="AF1" s="3" t="s">
        <v>24</v>
      </c>
      <c r="AG1" s="3" t="s">
        <v>59</v>
      </c>
      <c r="AH1" s="3" t="s">
        <v>25</v>
      </c>
      <c r="AI1" s="3" t="s">
        <v>26</v>
      </c>
      <c r="AJ1" s="3" t="s">
        <v>27</v>
      </c>
      <c r="AK1" s="3" t="s">
        <v>28</v>
      </c>
      <c r="AL1" s="3" t="s">
        <v>29</v>
      </c>
      <c r="AM1" s="3" t="s">
        <v>30</v>
      </c>
      <c r="AN1" s="3" t="s">
        <v>60</v>
      </c>
      <c r="AO1" s="3" t="s">
        <v>61</v>
      </c>
      <c r="AP1" s="3" t="s">
        <v>31</v>
      </c>
      <c r="AQ1" s="3" t="s">
        <v>32</v>
      </c>
      <c r="AR1" s="3" t="s">
        <v>33</v>
      </c>
      <c r="AS1" s="3" t="s">
        <v>34</v>
      </c>
      <c r="AT1" s="3" t="s">
        <v>35</v>
      </c>
      <c r="AU1" s="3" t="s">
        <v>36</v>
      </c>
      <c r="AV1" s="3" t="s">
        <v>37</v>
      </c>
      <c r="AW1" s="3" t="s">
        <v>38</v>
      </c>
      <c r="AX1" s="3" t="s">
        <v>39</v>
      </c>
      <c r="AY1" s="3" t="s">
        <v>63</v>
      </c>
      <c r="AZ1" s="3" t="s">
        <v>62</v>
      </c>
      <c r="BA1" s="3" t="s">
        <v>64</v>
      </c>
      <c r="BB1" s="3" t="s">
        <v>65</v>
      </c>
      <c r="BC1" s="3" t="s">
        <v>42</v>
      </c>
      <c r="BD1" s="3" t="s">
        <v>43</v>
      </c>
      <c r="BE1" s="3" t="s">
        <v>44</v>
      </c>
      <c r="BF1" s="3" t="s">
        <v>45</v>
      </c>
      <c r="BG1" s="3" t="s">
        <v>46</v>
      </c>
      <c r="BH1" s="3" t="s">
        <v>47</v>
      </c>
      <c r="BI1" s="3" t="s">
        <v>48</v>
      </c>
      <c r="BJ1" s="3" t="s">
        <v>49</v>
      </c>
      <c r="BK1" s="3" t="s">
        <v>50</v>
      </c>
      <c r="BL1" s="3" t="s">
        <v>51</v>
      </c>
      <c r="BM1" s="3" t="s">
        <v>40</v>
      </c>
      <c r="BN1" s="3" t="s">
        <v>41</v>
      </c>
      <c r="BO1" s="3" t="s">
        <v>66</v>
      </c>
      <c r="BP1" s="3" t="s">
        <v>67</v>
      </c>
      <c r="BQ1" s="3" t="s">
        <v>68</v>
      </c>
      <c r="BR1" s="3" t="s">
        <v>69</v>
      </c>
      <c r="BS1" s="18" t="s">
        <v>70</v>
      </c>
      <c r="BT1" s="18" t="s">
        <v>72</v>
      </c>
      <c r="BU1" s="18" t="s">
        <v>128</v>
      </c>
      <c r="BV1" s="18" t="s">
        <v>73</v>
      </c>
      <c r="BW1" s="18" t="s">
        <v>77</v>
      </c>
      <c r="BX1" s="3" t="s">
        <v>78</v>
      </c>
      <c r="BY1" s="3" t="s">
        <v>79</v>
      </c>
      <c r="BZ1" s="3" t="s">
        <v>80</v>
      </c>
      <c r="CA1" s="18" t="s">
        <v>85</v>
      </c>
      <c r="CB1" s="18" t="s">
        <v>129</v>
      </c>
      <c r="CC1" s="18" t="s">
        <v>87</v>
      </c>
      <c r="CD1" s="19" t="s">
        <v>130</v>
      </c>
      <c r="CE1" s="38" t="s">
        <v>131</v>
      </c>
      <c r="CF1" s="38" t="s">
        <v>132</v>
      </c>
      <c r="CG1" s="67" t="s">
        <v>142</v>
      </c>
      <c r="CH1" s="67" t="s">
        <v>143</v>
      </c>
    </row>
    <row r="2" spans="1:86" x14ac:dyDescent="0.35">
      <c r="A2">
        <v>359606</v>
      </c>
      <c r="B2" s="2">
        <v>44186</v>
      </c>
      <c r="C2" s="2">
        <v>44186</v>
      </c>
      <c r="J2">
        <v>1118.6200000000001</v>
      </c>
      <c r="K2">
        <v>44.760000000000005</v>
      </c>
      <c r="L2">
        <v>207</v>
      </c>
      <c r="M2">
        <v>44.760000000000005</v>
      </c>
      <c r="N2">
        <v>1192.23</v>
      </c>
      <c r="O2">
        <v>0</v>
      </c>
      <c r="P2">
        <v>0</v>
      </c>
      <c r="R2">
        <v>73.61</v>
      </c>
      <c r="V2">
        <v>10</v>
      </c>
      <c r="W2">
        <v>125</v>
      </c>
      <c r="X2">
        <v>0</v>
      </c>
      <c r="Y2">
        <v>0</v>
      </c>
      <c r="Z2">
        <v>16</v>
      </c>
      <c r="AA2">
        <v>41.95</v>
      </c>
      <c r="AB2">
        <v>0</v>
      </c>
      <c r="AC2">
        <v>0</v>
      </c>
      <c r="AD2">
        <v>0</v>
      </c>
      <c r="AE2">
        <v>0</v>
      </c>
      <c r="AH2">
        <v>0</v>
      </c>
      <c r="AJ2">
        <v>102.88</v>
      </c>
      <c r="AN2">
        <v>660</v>
      </c>
      <c r="AO2">
        <v>0</v>
      </c>
      <c r="AP2">
        <v>487.7</v>
      </c>
      <c r="AQ2">
        <v>35</v>
      </c>
      <c r="AR2">
        <v>263.68</v>
      </c>
      <c r="AS2">
        <v>95</v>
      </c>
      <c r="AT2">
        <v>617.77</v>
      </c>
      <c r="AU2">
        <v>11</v>
      </c>
      <c r="AV2">
        <v>143.22999999999999</v>
      </c>
      <c r="AW2">
        <v>2</v>
      </c>
      <c r="AX2">
        <v>25.7</v>
      </c>
      <c r="AY2">
        <v>19</v>
      </c>
      <c r="AZ2">
        <v>112.51</v>
      </c>
      <c r="BV2">
        <v>41.279999999999973</v>
      </c>
      <c r="BW2">
        <v>41.28</v>
      </c>
      <c r="CA2">
        <v>1</v>
      </c>
      <c r="CB2">
        <v>26.68</v>
      </c>
      <c r="CE2">
        <v>1</v>
      </c>
      <c r="CF2">
        <v>29.39</v>
      </c>
      <c r="CG2">
        <v>1</v>
      </c>
      <c r="CH2">
        <v>1</v>
      </c>
    </row>
    <row r="3" spans="1:86" x14ac:dyDescent="0.35">
      <c r="A3">
        <v>359606</v>
      </c>
      <c r="B3" s="2">
        <v>44192</v>
      </c>
      <c r="C3" s="2">
        <v>44198</v>
      </c>
      <c r="D3">
        <v>261</v>
      </c>
      <c r="E3">
        <v>833.79</v>
      </c>
      <c r="F3">
        <v>3194.53</v>
      </c>
      <c r="G3">
        <v>1046.99</v>
      </c>
      <c r="H3">
        <v>2126.59</v>
      </c>
      <c r="I3">
        <v>227.45</v>
      </c>
      <c r="J3">
        <v>6706.92</v>
      </c>
      <c r="K3">
        <v>267.20000000000005</v>
      </c>
      <c r="L3">
        <v>1268</v>
      </c>
      <c r="M3">
        <v>275.98</v>
      </c>
      <c r="N3">
        <v>7112.83</v>
      </c>
      <c r="O3">
        <v>0</v>
      </c>
      <c r="P3">
        <v>0</v>
      </c>
      <c r="R3">
        <v>414.69000000000005</v>
      </c>
      <c r="V3">
        <v>2</v>
      </c>
      <c r="W3">
        <v>20</v>
      </c>
      <c r="X3">
        <v>0</v>
      </c>
      <c r="Y3">
        <v>0</v>
      </c>
      <c r="Z3">
        <v>166</v>
      </c>
      <c r="AA3">
        <v>615.44000000000005</v>
      </c>
      <c r="AB3">
        <v>25</v>
      </c>
      <c r="AC3">
        <v>129.37</v>
      </c>
      <c r="AD3">
        <v>0</v>
      </c>
      <c r="AE3">
        <v>0</v>
      </c>
      <c r="AH3">
        <v>0</v>
      </c>
      <c r="AJ3">
        <v>619.79</v>
      </c>
      <c r="AN3">
        <v>1123.47</v>
      </c>
      <c r="AO3">
        <v>0</v>
      </c>
      <c r="AP3">
        <v>-3.7300000000000182</v>
      </c>
      <c r="AQ3">
        <v>149</v>
      </c>
      <c r="AR3">
        <v>1018.56</v>
      </c>
      <c r="AS3">
        <v>533</v>
      </c>
      <c r="AT3">
        <v>3149.74</v>
      </c>
      <c r="AU3">
        <v>105</v>
      </c>
      <c r="AV3">
        <v>720.3</v>
      </c>
      <c r="AW3">
        <v>28</v>
      </c>
      <c r="AX3">
        <v>224.57</v>
      </c>
      <c r="AY3">
        <v>175</v>
      </c>
      <c r="AZ3">
        <v>937.09</v>
      </c>
      <c r="BP3">
        <v>10</v>
      </c>
      <c r="BQ3">
        <v>131.57</v>
      </c>
      <c r="BR3">
        <v>120.83</v>
      </c>
      <c r="BS3">
        <v>6974.12</v>
      </c>
      <c r="BV3">
        <v>288.96000000000004</v>
      </c>
      <c r="BW3">
        <v>288.95999999999998</v>
      </c>
      <c r="BX3" t="s">
        <v>100</v>
      </c>
      <c r="BY3">
        <v>12</v>
      </c>
      <c r="CA3">
        <v>22</v>
      </c>
      <c r="CB3">
        <v>290.75</v>
      </c>
      <c r="CC3">
        <v>1</v>
      </c>
      <c r="CD3">
        <v>26.13</v>
      </c>
      <c r="CG3">
        <v>2</v>
      </c>
      <c r="CH3">
        <v>2</v>
      </c>
    </row>
    <row r="4" spans="1:86" x14ac:dyDescent="0.35">
      <c r="A4">
        <v>357150</v>
      </c>
      <c r="B4" s="2">
        <v>44192</v>
      </c>
      <c r="C4" s="2">
        <v>44198</v>
      </c>
      <c r="D4">
        <v>1165</v>
      </c>
      <c r="E4">
        <v>4030.15</v>
      </c>
      <c r="F4">
        <v>11035.760000000004</v>
      </c>
      <c r="G4">
        <v>3168.18</v>
      </c>
      <c r="H4">
        <v>3079.22</v>
      </c>
      <c r="I4">
        <v>546.87</v>
      </c>
      <c r="J4">
        <v>18714.759999999998</v>
      </c>
      <c r="K4">
        <v>1400.34</v>
      </c>
      <c r="L4">
        <v>3232</v>
      </c>
      <c r="M4">
        <v>1427.02</v>
      </c>
      <c r="N4">
        <v>19486.64</v>
      </c>
      <c r="O4">
        <v>5</v>
      </c>
      <c r="P4">
        <v>21.45</v>
      </c>
      <c r="R4">
        <v>798.56000000000006</v>
      </c>
      <c r="V4">
        <v>25</v>
      </c>
      <c r="W4">
        <v>330</v>
      </c>
      <c r="X4">
        <v>0</v>
      </c>
      <c r="Y4">
        <v>0</v>
      </c>
      <c r="Z4">
        <v>499</v>
      </c>
      <c r="AA4">
        <v>2224.3200000000002</v>
      </c>
      <c r="AB4">
        <v>55</v>
      </c>
      <c r="AC4">
        <v>366.78</v>
      </c>
      <c r="AD4">
        <v>176</v>
      </c>
      <c r="AE4">
        <v>264.43</v>
      </c>
      <c r="AG4">
        <v>1</v>
      </c>
      <c r="AH4">
        <v>0</v>
      </c>
      <c r="AJ4">
        <v>1609.3</v>
      </c>
      <c r="AN4">
        <v>4523</v>
      </c>
      <c r="AO4">
        <v>109.01</v>
      </c>
      <c r="AP4">
        <v>-1552.25</v>
      </c>
      <c r="AQ4">
        <v>442</v>
      </c>
      <c r="AR4">
        <v>3162.46</v>
      </c>
      <c r="AS4">
        <v>1164</v>
      </c>
      <c r="AT4">
        <v>8757.5499999999993</v>
      </c>
      <c r="AU4">
        <v>80</v>
      </c>
      <c r="AV4">
        <v>869.32</v>
      </c>
      <c r="AW4">
        <v>42</v>
      </c>
      <c r="AX4">
        <v>277.14999999999998</v>
      </c>
      <c r="AY4">
        <v>504</v>
      </c>
      <c r="AZ4">
        <v>2804.66</v>
      </c>
      <c r="BS4">
        <v>20115.099999999999</v>
      </c>
      <c r="BV4">
        <v>42.389999999999418</v>
      </c>
      <c r="BW4">
        <v>42.39</v>
      </c>
      <c r="CG4">
        <v>3</v>
      </c>
      <c r="CH4">
        <v>3</v>
      </c>
    </row>
    <row r="5" spans="1:86" x14ac:dyDescent="0.35">
      <c r="A5">
        <v>358682</v>
      </c>
      <c r="B5" s="2">
        <v>44192</v>
      </c>
      <c r="C5" s="2">
        <v>44198</v>
      </c>
      <c r="D5">
        <v>462</v>
      </c>
      <c r="E5">
        <v>1459.48</v>
      </c>
      <c r="F5">
        <v>4994.74</v>
      </c>
      <c r="G5">
        <v>895.9</v>
      </c>
      <c r="H5">
        <v>3320.87</v>
      </c>
      <c r="I5">
        <v>443</v>
      </c>
      <c r="J5">
        <v>9731.19</v>
      </c>
      <c r="K5">
        <v>587.05000000000007</v>
      </c>
      <c r="L5">
        <v>1725</v>
      </c>
      <c r="M5">
        <v>629.78000000000009</v>
      </c>
      <c r="N5">
        <v>10343</v>
      </c>
      <c r="O5">
        <v>2</v>
      </c>
      <c r="P5">
        <v>5.18</v>
      </c>
      <c r="R5">
        <v>654.54000000000008</v>
      </c>
      <c r="V5">
        <v>0</v>
      </c>
      <c r="W5">
        <v>0</v>
      </c>
      <c r="X5">
        <v>0</v>
      </c>
      <c r="Y5">
        <v>0</v>
      </c>
      <c r="Z5">
        <v>270</v>
      </c>
      <c r="AA5">
        <v>639.74</v>
      </c>
      <c r="AB5">
        <v>131</v>
      </c>
      <c r="AC5">
        <v>823.28</v>
      </c>
      <c r="AD5">
        <v>85</v>
      </c>
      <c r="AE5">
        <v>122.3</v>
      </c>
      <c r="AH5">
        <v>0</v>
      </c>
      <c r="AJ5">
        <v>911.94</v>
      </c>
      <c r="AN5">
        <v>2146.4</v>
      </c>
      <c r="AO5">
        <v>0</v>
      </c>
      <c r="AP5">
        <v>14.670000000000073</v>
      </c>
      <c r="AQ5">
        <v>209</v>
      </c>
      <c r="AR5">
        <v>1703.82</v>
      </c>
      <c r="AS5">
        <v>705</v>
      </c>
      <c r="AT5">
        <v>4599.22</v>
      </c>
      <c r="AU5">
        <v>110</v>
      </c>
      <c r="AV5">
        <v>719.58</v>
      </c>
      <c r="AW5">
        <v>30</v>
      </c>
      <c r="AX5">
        <v>226.49</v>
      </c>
      <c r="AY5">
        <v>222</v>
      </c>
      <c r="AZ5">
        <v>1090.24</v>
      </c>
      <c r="BM5">
        <v>17</v>
      </c>
      <c r="BN5">
        <v>166.58</v>
      </c>
      <c r="BP5">
        <v>40</v>
      </c>
      <c r="BQ5">
        <v>488.66</v>
      </c>
      <c r="BR5">
        <v>450.87</v>
      </c>
      <c r="BS5">
        <v>10336.89</v>
      </c>
      <c r="BV5">
        <v>9.9599999999991269</v>
      </c>
      <c r="BW5">
        <v>30.82</v>
      </c>
      <c r="CA5">
        <v>9</v>
      </c>
      <c r="CB5">
        <v>124.72</v>
      </c>
      <c r="CG5">
        <v>4</v>
      </c>
      <c r="CH5">
        <v>4</v>
      </c>
    </row>
    <row r="6" spans="1:86" x14ac:dyDescent="0.35">
      <c r="A6">
        <v>350432</v>
      </c>
      <c r="B6" s="2">
        <v>44192</v>
      </c>
      <c r="C6" s="2">
        <v>44198</v>
      </c>
      <c r="D6">
        <v>1158</v>
      </c>
      <c r="E6" s="1">
        <v>3683.07</v>
      </c>
      <c r="F6" s="1">
        <v>12413.91</v>
      </c>
      <c r="G6" s="1">
        <v>3454.96</v>
      </c>
      <c r="H6" s="1">
        <v>6481.7</v>
      </c>
      <c r="I6" s="1">
        <v>802.69</v>
      </c>
      <c r="J6" s="1">
        <v>24782.51</v>
      </c>
      <c r="K6" s="1">
        <v>3900.51</v>
      </c>
      <c r="L6">
        <v>4532</v>
      </c>
      <c r="M6" s="1">
        <v>3943.29</v>
      </c>
      <c r="N6" s="1">
        <v>25568.52</v>
      </c>
      <c r="O6">
        <v>6</v>
      </c>
      <c r="P6" s="1">
        <v>28.29</v>
      </c>
      <c r="Q6">
        <v>67</v>
      </c>
      <c r="R6" s="1">
        <v>37.79</v>
      </c>
      <c r="S6">
        <v>117</v>
      </c>
      <c r="T6" s="1">
        <v>290.70999999999998</v>
      </c>
      <c r="U6" s="1">
        <v>472</v>
      </c>
      <c r="V6">
        <v>2</v>
      </c>
      <c r="W6" s="1">
        <v>45</v>
      </c>
      <c r="X6">
        <v>106</v>
      </c>
      <c r="Y6" s="1">
        <v>0</v>
      </c>
      <c r="Z6">
        <v>926</v>
      </c>
      <c r="AA6" s="1">
        <v>3013.8</v>
      </c>
      <c r="AB6">
        <v>137</v>
      </c>
      <c r="AC6" s="1">
        <v>355.78</v>
      </c>
      <c r="AD6">
        <v>28</v>
      </c>
      <c r="AE6" s="1">
        <v>70.66</v>
      </c>
      <c r="AF6" s="1">
        <v>0</v>
      </c>
      <c r="AG6" s="1">
        <v>0</v>
      </c>
      <c r="AH6" s="1">
        <v>0</v>
      </c>
      <c r="AI6" s="1">
        <v>0</v>
      </c>
      <c r="AJ6" s="1">
        <v>2551.63</v>
      </c>
      <c r="AL6" s="1">
        <v>28683.02</v>
      </c>
      <c r="AM6" s="1">
        <v>0</v>
      </c>
      <c r="AN6" s="1">
        <v>4961</v>
      </c>
      <c r="AO6" s="1">
        <v>571.07000000000005</v>
      </c>
      <c r="AP6" s="1">
        <v>-649.33000000000004</v>
      </c>
      <c r="AQ6">
        <v>582</v>
      </c>
      <c r="AR6" s="1">
        <v>4482.13</v>
      </c>
      <c r="AS6">
        <v>1926</v>
      </c>
      <c r="AT6" s="1">
        <v>13554.28</v>
      </c>
      <c r="AU6">
        <v>197</v>
      </c>
      <c r="AV6" s="1">
        <v>1488.8</v>
      </c>
      <c r="AW6">
        <v>46</v>
      </c>
      <c r="AX6" s="1">
        <v>380.18</v>
      </c>
      <c r="AY6">
        <v>391</v>
      </c>
      <c r="AZ6" s="1">
        <v>2174.1999999999998</v>
      </c>
      <c r="BA6">
        <v>5</v>
      </c>
      <c r="BB6" s="1">
        <v>40.200000000000003</v>
      </c>
      <c r="BC6">
        <v>10</v>
      </c>
      <c r="BD6" s="1">
        <v>162.05000000000001</v>
      </c>
      <c r="BE6">
        <v>79</v>
      </c>
      <c r="BF6" s="1">
        <v>503.05</v>
      </c>
      <c r="BG6">
        <v>21</v>
      </c>
      <c r="BH6" s="1">
        <v>139</v>
      </c>
      <c r="BI6">
        <v>4</v>
      </c>
      <c r="BJ6" s="1">
        <v>97.3</v>
      </c>
      <c r="BK6">
        <v>44</v>
      </c>
      <c r="BL6" s="1">
        <v>324.06</v>
      </c>
      <c r="BM6">
        <v>10</v>
      </c>
      <c r="BN6" s="1">
        <v>102.77</v>
      </c>
      <c r="BO6" s="1">
        <v>94.38</v>
      </c>
      <c r="BP6">
        <v>96</v>
      </c>
      <c r="BQ6" s="1">
        <v>1221.82</v>
      </c>
      <c r="BR6" s="1">
        <v>1125.8599999999999</v>
      </c>
      <c r="CA6">
        <v>29</v>
      </c>
      <c r="CB6" s="1">
        <v>428.41</v>
      </c>
      <c r="CE6" t="s">
        <v>144</v>
      </c>
      <c r="CG6">
        <v>5</v>
      </c>
      <c r="CH6">
        <v>5</v>
      </c>
    </row>
    <row r="7" spans="1:86" x14ac:dyDescent="0.35">
      <c r="A7">
        <v>350437</v>
      </c>
      <c r="B7" s="2">
        <v>44192</v>
      </c>
      <c r="C7" s="2">
        <v>44198</v>
      </c>
      <c r="D7">
        <v>619</v>
      </c>
      <c r="E7" s="1">
        <v>1977.48</v>
      </c>
      <c r="F7" s="1">
        <v>6743.17</v>
      </c>
      <c r="G7" s="1">
        <v>2763.56</v>
      </c>
      <c r="H7" s="1">
        <v>3455.12</v>
      </c>
      <c r="I7" s="1">
        <v>499.38</v>
      </c>
      <c r="J7" s="1">
        <v>14521.18</v>
      </c>
      <c r="K7" s="1">
        <v>0</v>
      </c>
      <c r="L7">
        <v>2393</v>
      </c>
      <c r="M7" s="1">
        <v>0</v>
      </c>
      <c r="N7" s="1">
        <v>15019.19</v>
      </c>
      <c r="O7">
        <v>5</v>
      </c>
      <c r="P7" s="1">
        <v>61.23</v>
      </c>
      <c r="Q7">
        <v>43</v>
      </c>
      <c r="R7" s="1">
        <v>39.69</v>
      </c>
      <c r="S7">
        <v>60</v>
      </c>
      <c r="T7" s="1">
        <v>146.59</v>
      </c>
      <c r="U7" s="1">
        <v>250.5</v>
      </c>
      <c r="V7">
        <v>4</v>
      </c>
      <c r="W7" s="1">
        <v>65</v>
      </c>
      <c r="X7">
        <v>99</v>
      </c>
      <c r="Y7" s="1">
        <v>0</v>
      </c>
      <c r="Z7">
        <v>390</v>
      </c>
      <c r="AA7" s="1">
        <v>1077.6300000000001</v>
      </c>
      <c r="AB7">
        <v>30</v>
      </c>
      <c r="AC7" s="1">
        <v>71.7</v>
      </c>
      <c r="AD7">
        <v>15</v>
      </c>
      <c r="AE7" s="1">
        <v>49.62</v>
      </c>
      <c r="AF7" s="1">
        <v>0</v>
      </c>
      <c r="AG7" s="1">
        <v>0</v>
      </c>
      <c r="AH7" s="1">
        <v>0</v>
      </c>
      <c r="AI7" s="1">
        <v>0</v>
      </c>
      <c r="AJ7" s="1">
        <v>1119.8900000000001</v>
      </c>
      <c r="AL7" s="1">
        <v>14521.18</v>
      </c>
      <c r="AM7" s="1">
        <v>0</v>
      </c>
      <c r="AN7" s="1">
        <v>2511</v>
      </c>
      <c r="AO7" s="1">
        <v>0</v>
      </c>
      <c r="AP7" s="1">
        <v>22.8</v>
      </c>
      <c r="AQ7">
        <v>213</v>
      </c>
      <c r="AR7" s="1">
        <v>1488.11</v>
      </c>
      <c r="AS7">
        <v>987</v>
      </c>
      <c r="AT7" s="1">
        <v>6718.62</v>
      </c>
      <c r="AU7">
        <v>165</v>
      </c>
      <c r="AV7" s="1">
        <v>1306.32</v>
      </c>
      <c r="AW7">
        <v>25</v>
      </c>
      <c r="AX7" s="1">
        <v>225.69</v>
      </c>
      <c r="AY7">
        <v>261</v>
      </c>
      <c r="AZ7" s="1">
        <v>1395.6</v>
      </c>
      <c r="BA7">
        <v>3</v>
      </c>
      <c r="BB7" s="1">
        <v>30.77</v>
      </c>
      <c r="BC7">
        <v>5</v>
      </c>
      <c r="BD7" s="1">
        <v>63.66</v>
      </c>
      <c r="BE7">
        <v>64</v>
      </c>
      <c r="BF7" s="1">
        <v>318.87</v>
      </c>
      <c r="BG7">
        <v>11</v>
      </c>
      <c r="BH7" s="1">
        <v>125.61</v>
      </c>
      <c r="BK7">
        <v>20</v>
      </c>
      <c r="BL7" s="1">
        <v>161.27000000000001</v>
      </c>
      <c r="BM7">
        <v>1</v>
      </c>
      <c r="BN7" s="1">
        <v>14.7</v>
      </c>
      <c r="BO7" s="1">
        <v>13.5</v>
      </c>
      <c r="BP7">
        <v>46</v>
      </c>
      <c r="BQ7" s="1">
        <v>485.42</v>
      </c>
      <c r="BR7" s="1">
        <v>556.49</v>
      </c>
      <c r="CA7">
        <v>38</v>
      </c>
      <c r="CB7" s="1">
        <v>335.81</v>
      </c>
      <c r="CG7">
        <v>6</v>
      </c>
      <c r="CH7">
        <v>6</v>
      </c>
    </row>
    <row r="8" spans="1:86" x14ac:dyDescent="0.35">
      <c r="A8">
        <v>351323</v>
      </c>
      <c r="B8" s="2">
        <v>44192</v>
      </c>
      <c r="C8" s="2">
        <v>44198</v>
      </c>
      <c r="D8">
        <v>930</v>
      </c>
      <c r="E8" s="1">
        <v>3068.15</v>
      </c>
      <c r="F8" s="1">
        <v>10596.81</v>
      </c>
      <c r="G8" s="1">
        <v>3609.12</v>
      </c>
      <c r="H8" s="1">
        <v>4806.07</v>
      </c>
      <c r="I8" s="1">
        <v>744.95</v>
      </c>
      <c r="J8" s="1">
        <v>20894.740000000002</v>
      </c>
      <c r="K8" s="1">
        <v>2369.59</v>
      </c>
      <c r="L8">
        <v>3767</v>
      </c>
      <c r="M8" s="1">
        <v>2400.23</v>
      </c>
      <c r="N8" s="1">
        <v>21739.17</v>
      </c>
      <c r="O8">
        <v>4</v>
      </c>
      <c r="P8" s="1">
        <v>20.12</v>
      </c>
      <c r="Q8">
        <v>34</v>
      </c>
      <c r="R8" s="1">
        <v>14.66</v>
      </c>
      <c r="S8">
        <v>182</v>
      </c>
      <c r="T8" s="1">
        <v>414.38</v>
      </c>
      <c r="U8" s="1">
        <v>425.91</v>
      </c>
      <c r="V8">
        <v>7</v>
      </c>
      <c r="W8" s="1">
        <v>117.25</v>
      </c>
      <c r="X8">
        <v>97</v>
      </c>
      <c r="Y8" s="1">
        <v>0</v>
      </c>
      <c r="Z8">
        <v>832</v>
      </c>
      <c r="AA8" s="1">
        <v>2763.16</v>
      </c>
      <c r="AB8">
        <v>132</v>
      </c>
      <c r="AC8" s="1">
        <v>352</v>
      </c>
      <c r="AD8">
        <v>43</v>
      </c>
      <c r="AE8" s="1">
        <v>117.01</v>
      </c>
      <c r="AF8" s="1">
        <v>37</v>
      </c>
      <c r="AG8" s="1">
        <v>37</v>
      </c>
      <c r="AH8" s="1">
        <v>0</v>
      </c>
      <c r="AI8" s="1">
        <v>0</v>
      </c>
      <c r="AJ8" s="1">
        <v>1005.19</v>
      </c>
      <c r="AL8" s="1">
        <v>23264.33</v>
      </c>
      <c r="AM8" s="1">
        <v>37</v>
      </c>
      <c r="AN8" s="1">
        <v>3969</v>
      </c>
      <c r="AO8" s="1">
        <v>0</v>
      </c>
      <c r="AP8" s="1">
        <v>-11.34</v>
      </c>
      <c r="AQ8">
        <v>522</v>
      </c>
      <c r="AR8" s="1">
        <v>3792.38</v>
      </c>
      <c r="AS8">
        <v>1539</v>
      </c>
      <c r="AT8" s="1">
        <v>10782</v>
      </c>
      <c r="AU8">
        <v>82</v>
      </c>
      <c r="AV8" s="1">
        <v>600.74</v>
      </c>
      <c r="AW8">
        <v>39</v>
      </c>
      <c r="AX8" s="1">
        <v>276.7</v>
      </c>
      <c r="AY8">
        <v>447</v>
      </c>
      <c r="AZ8" s="1">
        <v>2418.64</v>
      </c>
      <c r="BA8">
        <v>3</v>
      </c>
      <c r="BB8" s="1">
        <v>19</v>
      </c>
      <c r="BC8">
        <v>4</v>
      </c>
      <c r="BD8" s="1">
        <v>29.71</v>
      </c>
      <c r="BE8">
        <v>63</v>
      </c>
      <c r="BF8" s="1">
        <v>261</v>
      </c>
      <c r="BG8">
        <v>9</v>
      </c>
      <c r="BH8" s="1">
        <v>31.51</v>
      </c>
      <c r="BI8">
        <v>2</v>
      </c>
      <c r="BJ8" s="1">
        <v>52.98</v>
      </c>
      <c r="BK8">
        <v>31</v>
      </c>
      <c r="BL8" s="1">
        <v>158.69</v>
      </c>
      <c r="BM8">
        <v>4</v>
      </c>
      <c r="BN8" s="1">
        <v>36.799999999999997</v>
      </c>
      <c r="BO8" s="1">
        <v>51.49</v>
      </c>
      <c r="BP8">
        <v>17</v>
      </c>
      <c r="BQ8" s="1">
        <v>381.24</v>
      </c>
      <c r="BR8" s="1">
        <v>378.78</v>
      </c>
      <c r="CA8">
        <v>13</v>
      </c>
      <c r="CB8" s="1">
        <v>122.07</v>
      </c>
      <c r="CG8">
        <v>7</v>
      </c>
      <c r="CH8">
        <v>7</v>
      </c>
    </row>
    <row r="9" spans="1:86" x14ac:dyDescent="0.35">
      <c r="A9">
        <v>352613</v>
      </c>
      <c r="B9" s="2">
        <v>44192</v>
      </c>
      <c r="C9" s="2">
        <v>44198</v>
      </c>
      <c r="D9">
        <v>793</v>
      </c>
      <c r="E9" s="1">
        <v>2569.6799999999998</v>
      </c>
      <c r="F9" s="1">
        <v>9855.86</v>
      </c>
      <c r="G9" s="1">
        <v>4503.49</v>
      </c>
      <c r="H9" s="1">
        <v>4113.18</v>
      </c>
      <c r="I9" s="1">
        <v>779.43</v>
      </c>
      <c r="J9" s="1">
        <v>20356.05</v>
      </c>
      <c r="K9" s="1">
        <v>2125.0300000000002</v>
      </c>
      <c r="L9">
        <v>3650</v>
      </c>
      <c r="M9" s="1">
        <v>2200.2199999999998</v>
      </c>
      <c r="N9" s="1">
        <v>21054.36</v>
      </c>
      <c r="O9">
        <v>9</v>
      </c>
      <c r="P9" s="1">
        <v>83.64</v>
      </c>
      <c r="Q9">
        <v>70</v>
      </c>
      <c r="R9" s="1">
        <v>39.08</v>
      </c>
      <c r="S9">
        <v>105</v>
      </c>
      <c r="T9" s="1">
        <v>270.08999999999997</v>
      </c>
      <c r="U9" s="1">
        <v>380.69</v>
      </c>
      <c r="V9">
        <v>7</v>
      </c>
      <c r="W9" s="1">
        <v>130</v>
      </c>
      <c r="X9">
        <v>122</v>
      </c>
      <c r="Y9" s="1">
        <v>0</v>
      </c>
      <c r="Z9">
        <v>571</v>
      </c>
      <c r="AA9" s="1">
        <v>2003.2</v>
      </c>
      <c r="AB9">
        <v>105</v>
      </c>
      <c r="AC9" s="1">
        <v>288.04000000000002</v>
      </c>
      <c r="AD9">
        <v>31</v>
      </c>
      <c r="AE9" s="1">
        <v>129.49</v>
      </c>
      <c r="AF9" s="1">
        <v>1</v>
      </c>
      <c r="AG9" s="1">
        <v>1</v>
      </c>
      <c r="AH9" s="1">
        <v>0</v>
      </c>
      <c r="AI9" s="1">
        <v>0</v>
      </c>
      <c r="AJ9" s="1">
        <v>1548.33</v>
      </c>
      <c r="AL9" s="1">
        <v>22481.08</v>
      </c>
      <c r="AM9" s="1">
        <v>1</v>
      </c>
      <c r="AN9" s="1">
        <v>5652</v>
      </c>
      <c r="AO9" s="1">
        <v>5.18</v>
      </c>
      <c r="AP9" s="1">
        <v>-25.67</v>
      </c>
      <c r="AQ9">
        <v>437</v>
      </c>
      <c r="AR9" s="1">
        <v>3543.01</v>
      </c>
      <c r="AS9">
        <v>1422</v>
      </c>
      <c r="AT9" s="1">
        <v>9764.2800000000007</v>
      </c>
      <c r="AU9">
        <v>81</v>
      </c>
      <c r="AV9" s="1">
        <v>614.51</v>
      </c>
      <c r="AW9">
        <v>21</v>
      </c>
      <c r="AX9" s="1">
        <v>135.46</v>
      </c>
      <c r="AY9">
        <v>333</v>
      </c>
      <c r="AZ9" s="1">
        <v>1799.37</v>
      </c>
      <c r="BA9">
        <v>2</v>
      </c>
      <c r="BB9" s="1">
        <v>12.29</v>
      </c>
      <c r="BC9">
        <v>1</v>
      </c>
      <c r="BD9" s="1">
        <v>12.02</v>
      </c>
      <c r="BE9">
        <v>61</v>
      </c>
      <c r="BF9" s="1">
        <v>346.83</v>
      </c>
      <c r="BG9">
        <v>16</v>
      </c>
      <c r="BH9" s="1">
        <v>54.92</v>
      </c>
      <c r="BI9">
        <v>3</v>
      </c>
      <c r="BJ9" s="1">
        <v>78.81</v>
      </c>
      <c r="BK9">
        <v>51</v>
      </c>
      <c r="BL9" s="1">
        <v>281.62</v>
      </c>
      <c r="BM9">
        <v>8</v>
      </c>
      <c r="BN9" s="1">
        <v>129.63999999999999</v>
      </c>
      <c r="BO9" s="1">
        <v>137.6</v>
      </c>
      <c r="BP9">
        <v>38</v>
      </c>
      <c r="BQ9" s="1">
        <v>385.81</v>
      </c>
      <c r="BR9" s="1">
        <v>420.53</v>
      </c>
      <c r="CA9">
        <v>39</v>
      </c>
      <c r="CB9" s="1">
        <v>476.54</v>
      </c>
      <c r="CG9">
        <v>8</v>
      </c>
      <c r="CH9">
        <v>8</v>
      </c>
    </row>
    <row r="10" spans="1:86" x14ac:dyDescent="0.35">
      <c r="A10">
        <v>353927</v>
      </c>
      <c r="B10" s="2">
        <v>44192</v>
      </c>
      <c r="C10" s="2">
        <v>44198</v>
      </c>
      <c r="D10">
        <v>913</v>
      </c>
      <c r="E10" s="1">
        <v>2971.85</v>
      </c>
      <c r="F10" s="1">
        <v>9710.61</v>
      </c>
      <c r="G10" s="1">
        <v>4050.61</v>
      </c>
      <c r="H10" s="1">
        <v>4605.58</v>
      </c>
      <c r="I10" s="1">
        <v>771.26</v>
      </c>
      <c r="J10" s="1">
        <v>20062.02</v>
      </c>
      <c r="K10" s="1">
        <v>0</v>
      </c>
      <c r="L10">
        <v>3175</v>
      </c>
      <c r="M10" s="1">
        <v>0</v>
      </c>
      <c r="N10" s="1">
        <v>21062.21</v>
      </c>
      <c r="O10">
        <v>6</v>
      </c>
      <c r="P10" s="1">
        <v>36.94</v>
      </c>
      <c r="Q10">
        <v>39</v>
      </c>
      <c r="R10" s="1">
        <v>74.400000000000006</v>
      </c>
      <c r="S10">
        <v>211</v>
      </c>
      <c r="T10" s="1">
        <v>406.32</v>
      </c>
      <c r="U10" s="1">
        <v>482.53</v>
      </c>
      <c r="V10">
        <v>2</v>
      </c>
      <c r="W10" s="1">
        <v>45</v>
      </c>
      <c r="X10">
        <v>67</v>
      </c>
      <c r="Y10" s="1">
        <v>0</v>
      </c>
      <c r="Z10">
        <v>734</v>
      </c>
      <c r="AA10" s="1">
        <v>2190.59</v>
      </c>
      <c r="AB10">
        <v>60</v>
      </c>
      <c r="AC10" s="1">
        <v>167.17</v>
      </c>
      <c r="AD10">
        <v>23</v>
      </c>
      <c r="AE10" s="1">
        <v>28.77</v>
      </c>
      <c r="AF10" s="1">
        <v>15</v>
      </c>
      <c r="AG10" s="1">
        <v>15</v>
      </c>
      <c r="AH10" s="1">
        <v>0</v>
      </c>
      <c r="AI10" s="1">
        <v>0</v>
      </c>
      <c r="AJ10" s="1">
        <v>1203.3699999999999</v>
      </c>
      <c r="AL10" s="1">
        <v>20062.02</v>
      </c>
      <c r="AM10" s="1">
        <v>15</v>
      </c>
      <c r="AN10" s="1">
        <v>4992</v>
      </c>
      <c r="AO10" s="1">
        <v>46.35</v>
      </c>
      <c r="AP10" s="1">
        <v>-22.92</v>
      </c>
      <c r="AQ10">
        <v>458</v>
      </c>
      <c r="AR10" s="1">
        <v>3266.88</v>
      </c>
      <c r="AS10">
        <v>1298</v>
      </c>
      <c r="AT10" s="1">
        <v>9188.66</v>
      </c>
      <c r="AU10">
        <v>40</v>
      </c>
      <c r="AV10" s="1">
        <v>350.34</v>
      </c>
      <c r="AW10">
        <v>27</v>
      </c>
      <c r="AX10" s="1">
        <v>237.3</v>
      </c>
      <c r="AY10">
        <v>328</v>
      </c>
      <c r="AZ10" s="1">
        <v>1661.85</v>
      </c>
      <c r="BA10">
        <v>3</v>
      </c>
      <c r="BB10" s="1">
        <v>16.22</v>
      </c>
      <c r="BE10">
        <v>65</v>
      </c>
      <c r="BF10" s="1">
        <v>338.95</v>
      </c>
      <c r="BG10">
        <v>8</v>
      </c>
      <c r="BH10" s="1">
        <v>47.34</v>
      </c>
      <c r="BK10">
        <v>26</v>
      </c>
      <c r="BL10" s="1">
        <v>218.55</v>
      </c>
      <c r="BM10">
        <v>4</v>
      </c>
      <c r="BN10" s="1">
        <v>43.45</v>
      </c>
      <c r="BO10" s="1">
        <v>40.99</v>
      </c>
      <c r="BP10">
        <v>25</v>
      </c>
      <c r="BQ10" s="1">
        <v>337.77</v>
      </c>
      <c r="BR10" s="1">
        <v>319.95</v>
      </c>
      <c r="CA10">
        <v>46</v>
      </c>
      <c r="CB10" s="1">
        <v>554.16999999999996</v>
      </c>
      <c r="CC10">
        <v>1</v>
      </c>
      <c r="CD10" s="1">
        <v>2.64</v>
      </c>
      <c r="CG10">
        <v>9</v>
      </c>
      <c r="CH10">
        <v>9</v>
      </c>
    </row>
    <row r="11" spans="1:86" x14ac:dyDescent="0.35">
      <c r="A11">
        <v>354030</v>
      </c>
      <c r="B11" s="2">
        <v>44192</v>
      </c>
      <c r="C11" s="2">
        <v>44198</v>
      </c>
      <c r="D11">
        <v>989</v>
      </c>
      <c r="E11" s="1">
        <v>3168.18</v>
      </c>
      <c r="F11" s="1">
        <v>9376.02</v>
      </c>
      <c r="G11" s="1">
        <v>4248.8599999999997</v>
      </c>
      <c r="H11" s="1">
        <v>4036.49</v>
      </c>
      <c r="I11" s="1">
        <v>876.88</v>
      </c>
      <c r="J11" s="1">
        <v>19578.11</v>
      </c>
      <c r="K11" s="1">
        <v>1079.2</v>
      </c>
      <c r="L11">
        <v>3078</v>
      </c>
      <c r="M11" s="1">
        <v>1102.24</v>
      </c>
      <c r="N11" s="1">
        <v>20464.27</v>
      </c>
      <c r="O11">
        <v>3</v>
      </c>
      <c r="P11" s="1">
        <v>13.37</v>
      </c>
      <c r="Q11">
        <v>35</v>
      </c>
      <c r="R11" s="1">
        <v>45.66</v>
      </c>
      <c r="S11">
        <v>142</v>
      </c>
      <c r="T11" s="1">
        <v>363.45</v>
      </c>
      <c r="U11" s="1">
        <v>486.72</v>
      </c>
      <c r="V11">
        <v>6</v>
      </c>
      <c r="W11" s="1">
        <v>100</v>
      </c>
      <c r="X11">
        <v>69</v>
      </c>
      <c r="Y11" s="1">
        <v>0</v>
      </c>
      <c r="Z11">
        <v>696</v>
      </c>
      <c r="AA11" s="1">
        <v>2123.9699999999998</v>
      </c>
      <c r="AB11">
        <v>46</v>
      </c>
      <c r="AC11" s="1">
        <v>143.87</v>
      </c>
      <c r="AD11">
        <v>19</v>
      </c>
      <c r="AE11" s="1">
        <v>38.979999999999997</v>
      </c>
      <c r="AF11" s="1">
        <v>1</v>
      </c>
      <c r="AG11" s="1">
        <v>1</v>
      </c>
      <c r="AH11" s="1">
        <v>0</v>
      </c>
      <c r="AI11" s="1">
        <v>0</v>
      </c>
      <c r="AJ11" s="1">
        <v>892.72</v>
      </c>
      <c r="AL11" s="1">
        <v>20657.310000000001</v>
      </c>
      <c r="AM11" s="1">
        <v>1</v>
      </c>
      <c r="AN11" s="1">
        <v>2656</v>
      </c>
      <c r="AO11" s="1">
        <v>0</v>
      </c>
      <c r="AP11" s="1">
        <v>31.58</v>
      </c>
      <c r="AQ11">
        <v>357</v>
      </c>
      <c r="AR11" s="1">
        <v>2731.82</v>
      </c>
      <c r="AS11">
        <v>1245</v>
      </c>
      <c r="AT11" s="1">
        <v>9665.42</v>
      </c>
      <c r="AU11">
        <v>96</v>
      </c>
      <c r="AV11" s="1">
        <v>834.86</v>
      </c>
      <c r="AW11">
        <v>38</v>
      </c>
      <c r="AX11" s="1">
        <v>329.22</v>
      </c>
      <c r="AY11">
        <v>512</v>
      </c>
      <c r="AZ11" s="1">
        <v>3250.16</v>
      </c>
      <c r="BC11">
        <v>8</v>
      </c>
      <c r="BD11" s="1">
        <v>47.21</v>
      </c>
      <c r="BE11">
        <v>112</v>
      </c>
      <c r="BF11" s="1">
        <v>532.99</v>
      </c>
      <c r="BG11">
        <v>21</v>
      </c>
      <c r="BH11" s="1">
        <v>117.85</v>
      </c>
      <c r="BK11">
        <v>43</v>
      </c>
      <c r="BL11" s="1">
        <v>231.43</v>
      </c>
      <c r="CA11">
        <v>30</v>
      </c>
      <c r="CB11" s="1">
        <v>216.05</v>
      </c>
      <c r="CG11">
        <v>10</v>
      </c>
      <c r="CH11">
        <v>10</v>
      </c>
    </row>
    <row r="12" spans="1:86" x14ac:dyDescent="0.35">
      <c r="A12">
        <v>355439</v>
      </c>
      <c r="B12" s="2">
        <v>44192</v>
      </c>
      <c r="C12" s="2">
        <v>44198</v>
      </c>
      <c r="D12">
        <v>1341</v>
      </c>
      <c r="E12" s="1">
        <v>4188.2</v>
      </c>
      <c r="F12" s="1">
        <v>12066</v>
      </c>
      <c r="G12" s="1">
        <v>5021.78</v>
      </c>
      <c r="H12" s="1">
        <v>5404.48</v>
      </c>
      <c r="I12" s="1">
        <v>763.22</v>
      </c>
      <c r="J12" s="1">
        <v>24619.279999999999</v>
      </c>
      <c r="K12" s="1">
        <v>0</v>
      </c>
      <c r="L12">
        <v>4212</v>
      </c>
      <c r="M12" s="1">
        <v>0</v>
      </c>
      <c r="N12" s="1">
        <v>25459.29</v>
      </c>
      <c r="O12">
        <v>11</v>
      </c>
      <c r="P12" s="1">
        <v>45.68</v>
      </c>
      <c r="Q12">
        <v>68</v>
      </c>
      <c r="R12" s="1">
        <v>33.58</v>
      </c>
      <c r="S12">
        <v>156</v>
      </c>
      <c r="T12" s="1">
        <v>424.93</v>
      </c>
      <c r="U12" s="1">
        <v>335.82</v>
      </c>
      <c r="V12">
        <v>8</v>
      </c>
      <c r="W12" s="1">
        <v>180</v>
      </c>
      <c r="X12">
        <v>143</v>
      </c>
      <c r="Y12" s="1">
        <v>0</v>
      </c>
      <c r="Z12">
        <v>802</v>
      </c>
      <c r="AA12" s="1">
        <v>2073.6</v>
      </c>
      <c r="AB12">
        <v>107</v>
      </c>
      <c r="AC12" s="1">
        <v>262.29000000000002</v>
      </c>
      <c r="AD12">
        <v>31</v>
      </c>
      <c r="AE12" s="1">
        <v>588.39</v>
      </c>
      <c r="AF12" s="1">
        <v>2</v>
      </c>
      <c r="AG12" s="1">
        <v>2</v>
      </c>
      <c r="AH12" s="1">
        <v>0</v>
      </c>
      <c r="AI12" s="1">
        <v>0</v>
      </c>
      <c r="AJ12" s="1">
        <v>1465.88</v>
      </c>
      <c r="AL12" s="1">
        <v>24619.279999999999</v>
      </c>
      <c r="AM12" s="1">
        <v>2</v>
      </c>
      <c r="AN12" s="1">
        <v>3034</v>
      </c>
      <c r="AO12" s="1">
        <v>409.84</v>
      </c>
      <c r="AP12" s="1">
        <v>-63.76</v>
      </c>
      <c r="AQ12">
        <v>549</v>
      </c>
      <c r="AR12" s="1">
        <v>3614.95</v>
      </c>
      <c r="AS12">
        <v>1796</v>
      </c>
      <c r="AT12" s="1">
        <v>12364.34</v>
      </c>
      <c r="AU12">
        <v>198</v>
      </c>
      <c r="AV12" s="1">
        <v>1744.73</v>
      </c>
      <c r="AW12">
        <v>39</v>
      </c>
      <c r="AX12" s="1">
        <v>270.97000000000003</v>
      </c>
      <c r="AY12">
        <v>419</v>
      </c>
      <c r="AZ12" s="1">
        <v>2059.56</v>
      </c>
      <c r="BA12">
        <v>7</v>
      </c>
      <c r="BB12" s="1">
        <v>55.29</v>
      </c>
      <c r="BC12">
        <v>14</v>
      </c>
      <c r="BD12" s="1">
        <v>109.35</v>
      </c>
      <c r="BE12">
        <v>97</v>
      </c>
      <c r="BF12" s="1">
        <v>387.3</v>
      </c>
      <c r="BG12">
        <v>24</v>
      </c>
      <c r="BH12" s="1">
        <v>76.86</v>
      </c>
      <c r="BK12">
        <v>54</v>
      </c>
      <c r="BL12" s="1">
        <v>307.83999999999997</v>
      </c>
      <c r="BM12">
        <v>1</v>
      </c>
      <c r="BN12" s="1">
        <v>11.51</v>
      </c>
      <c r="BO12" s="1">
        <v>10.66</v>
      </c>
      <c r="BP12">
        <v>7</v>
      </c>
      <c r="BQ12" s="1">
        <v>40.590000000000003</v>
      </c>
      <c r="BR12" s="1">
        <v>74.23</v>
      </c>
      <c r="CA12">
        <v>61</v>
      </c>
      <c r="CB12" s="1">
        <v>472.37</v>
      </c>
      <c r="CG12">
        <v>11</v>
      </c>
      <c r="CH12">
        <v>11</v>
      </c>
    </row>
    <row r="13" spans="1:86" x14ac:dyDescent="0.35">
      <c r="A13">
        <v>359606</v>
      </c>
      <c r="B13" s="2">
        <v>44197</v>
      </c>
      <c r="C13" s="2">
        <v>44197</v>
      </c>
      <c r="D13">
        <v>35</v>
      </c>
      <c r="E13">
        <v>111.65</v>
      </c>
      <c r="F13">
        <v>425.39</v>
      </c>
      <c r="G13">
        <v>171.41</v>
      </c>
      <c r="H13">
        <v>400.58</v>
      </c>
      <c r="I13">
        <v>37.440000000000005</v>
      </c>
      <c r="J13">
        <v>1061.54</v>
      </c>
      <c r="K13">
        <v>17.45</v>
      </c>
      <c r="L13">
        <v>164</v>
      </c>
      <c r="M13">
        <v>17.45</v>
      </c>
      <c r="N13">
        <v>1114.93</v>
      </c>
      <c r="O13">
        <v>0</v>
      </c>
      <c r="P13">
        <v>0</v>
      </c>
      <c r="R13">
        <v>53.39</v>
      </c>
      <c r="V13">
        <v>0</v>
      </c>
      <c r="W13">
        <v>0</v>
      </c>
      <c r="X13">
        <v>0</v>
      </c>
      <c r="Y13">
        <v>0</v>
      </c>
      <c r="Z13">
        <v>30</v>
      </c>
      <c r="AA13">
        <v>187.48</v>
      </c>
      <c r="AB13">
        <v>2</v>
      </c>
      <c r="AC13">
        <v>15.58</v>
      </c>
      <c r="AD13">
        <v>0</v>
      </c>
      <c r="AE13">
        <v>0</v>
      </c>
      <c r="AH13">
        <v>0</v>
      </c>
      <c r="AJ13">
        <v>95.96</v>
      </c>
      <c r="AN13">
        <v>164.6</v>
      </c>
      <c r="AO13">
        <v>0</v>
      </c>
      <c r="AP13">
        <v>-1.1899999999999977</v>
      </c>
      <c r="AQ13">
        <v>24</v>
      </c>
      <c r="AR13">
        <v>168.02</v>
      </c>
      <c r="AS13">
        <v>60</v>
      </c>
      <c r="AT13">
        <v>380.66</v>
      </c>
      <c r="AU13">
        <v>12</v>
      </c>
      <c r="AV13">
        <v>104.18</v>
      </c>
      <c r="AW13">
        <v>3</v>
      </c>
      <c r="AX13">
        <v>25.2</v>
      </c>
      <c r="AY13">
        <v>18</v>
      </c>
      <c r="AZ13">
        <v>114.51</v>
      </c>
      <c r="BP13">
        <v>6</v>
      </c>
      <c r="BQ13">
        <v>95.2</v>
      </c>
      <c r="BR13">
        <v>87.43</v>
      </c>
      <c r="BS13">
        <v>1078.99</v>
      </c>
      <c r="BV13">
        <v>41.279999999999973</v>
      </c>
      <c r="BW13">
        <v>41.28</v>
      </c>
      <c r="BZ13">
        <v>1</v>
      </c>
      <c r="CA13">
        <v>11</v>
      </c>
      <c r="CB13">
        <v>121.39</v>
      </c>
      <c r="CG13">
        <v>12</v>
      </c>
      <c r="CH13">
        <v>12</v>
      </c>
    </row>
    <row r="14" spans="1:86" x14ac:dyDescent="0.35">
      <c r="A14">
        <v>350432</v>
      </c>
      <c r="B14" s="2">
        <v>44197</v>
      </c>
      <c r="C14" s="2">
        <v>44197</v>
      </c>
      <c r="D14">
        <v>171</v>
      </c>
      <c r="E14" s="1">
        <v>581.82000000000005</v>
      </c>
      <c r="F14" s="1">
        <v>1809.18</v>
      </c>
      <c r="G14" s="1">
        <v>631.67999999999995</v>
      </c>
      <c r="H14" s="1">
        <v>1129.72</v>
      </c>
      <c r="I14" s="1">
        <v>107.09</v>
      </c>
      <c r="J14" s="1">
        <v>3917.25</v>
      </c>
      <c r="K14" s="1">
        <v>660.34</v>
      </c>
      <c r="L14">
        <v>623</v>
      </c>
      <c r="M14" s="1">
        <v>662.53</v>
      </c>
      <c r="N14" s="1">
        <v>4022.48</v>
      </c>
      <c r="O14">
        <v>0</v>
      </c>
      <c r="P14" s="1">
        <v>0</v>
      </c>
      <c r="Q14">
        <v>2</v>
      </c>
      <c r="R14" s="1">
        <v>0.48</v>
      </c>
      <c r="S14">
        <v>14</v>
      </c>
      <c r="T14" s="1">
        <v>31.71</v>
      </c>
      <c r="U14" s="1">
        <v>75.23</v>
      </c>
      <c r="V14">
        <v>0</v>
      </c>
      <c r="W14" s="1">
        <v>0</v>
      </c>
      <c r="X14">
        <v>11</v>
      </c>
      <c r="Y14" s="1">
        <v>0</v>
      </c>
      <c r="Z14">
        <v>109</v>
      </c>
      <c r="AA14" s="1">
        <v>334.82</v>
      </c>
      <c r="AB14">
        <v>17</v>
      </c>
      <c r="AC14" s="1">
        <v>40.76</v>
      </c>
      <c r="AD14">
        <v>5</v>
      </c>
      <c r="AE14" s="1">
        <v>4.12</v>
      </c>
      <c r="AF14" s="1">
        <v>0</v>
      </c>
      <c r="AG14" s="1">
        <v>0</v>
      </c>
      <c r="AH14" s="1">
        <v>0</v>
      </c>
      <c r="AI14" s="1">
        <v>0</v>
      </c>
      <c r="AJ14" s="1">
        <v>407.33</v>
      </c>
      <c r="AL14" s="1">
        <v>4577.59</v>
      </c>
      <c r="AM14" s="1">
        <v>0</v>
      </c>
      <c r="AN14" s="1">
        <v>711</v>
      </c>
      <c r="AO14" s="1">
        <v>0</v>
      </c>
      <c r="AP14" s="1">
        <v>2.3199999999999998</v>
      </c>
      <c r="AQ14">
        <v>93</v>
      </c>
      <c r="AR14" s="1">
        <v>744.76</v>
      </c>
      <c r="AS14">
        <v>271</v>
      </c>
      <c r="AT14" s="1">
        <v>2262.6799999999998</v>
      </c>
      <c r="AU14">
        <v>23</v>
      </c>
      <c r="AV14" s="1">
        <v>205.82</v>
      </c>
      <c r="AW14">
        <v>6</v>
      </c>
      <c r="AX14" s="1">
        <v>94.03</v>
      </c>
      <c r="AY14">
        <v>38</v>
      </c>
      <c r="AZ14" s="1">
        <v>251.21</v>
      </c>
      <c r="BA14">
        <v>1</v>
      </c>
      <c r="BB14" s="1">
        <v>4.0199999999999996</v>
      </c>
      <c r="BC14">
        <v>2</v>
      </c>
      <c r="BD14" s="1">
        <v>65.510000000000005</v>
      </c>
      <c r="BE14">
        <v>8</v>
      </c>
      <c r="BF14" s="1">
        <v>69.25</v>
      </c>
      <c r="BG14">
        <v>3</v>
      </c>
      <c r="BH14" s="1">
        <v>28.52</v>
      </c>
      <c r="BK14">
        <v>8</v>
      </c>
      <c r="BL14" s="1">
        <v>68.349999999999994</v>
      </c>
      <c r="BM14">
        <v>4</v>
      </c>
      <c r="BN14" s="1">
        <v>38.42</v>
      </c>
      <c r="BO14" s="1">
        <v>35.28</v>
      </c>
      <c r="BP14">
        <v>24</v>
      </c>
      <c r="BQ14" s="1">
        <v>322.64999999999998</v>
      </c>
      <c r="BR14" s="1">
        <v>296.27</v>
      </c>
      <c r="BZ14">
        <v>1</v>
      </c>
      <c r="CA14">
        <v>7</v>
      </c>
      <c r="CB14" s="1">
        <v>121.02</v>
      </c>
      <c r="CG14">
        <v>13</v>
      </c>
      <c r="CH14">
        <v>13</v>
      </c>
    </row>
    <row r="15" spans="1:86" x14ac:dyDescent="0.35">
      <c r="A15">
        <v>350437</v>
      </c>
      <c r="B15" s="2">
        <v>44197</v>
      </c>
      <c r="C15" s="2">
        <v>44197</v>
      </c>
      <c r="D15">
        <v>90</v>
      </c>
      <c r="E15" s="1">
        <v>297.42</v>
      </c>
      <c r="F15" s="1">
        <v>842.42</v>
      </c>
      <c r="G15" s="1">
        <v>373.38</v>
      </c>
      <c r="H15" s="1">
        <v>514.98</v>
      </c>
      <c r="I15" s="1">
        <v>75.84</v>
      </c>
      <c r="J15" s="1">
        <v>1957.84</v>
      </c>
      <c r="K15" s="1">
        <v>0</v>
      </c>
      <c r="L15">
        <v>268</v>
      </c>
      <c r="M15" s="1">
        <v>0</v>
      </c>
      <c r="N15" s="1">
        <v>2022.48</v>
      </c>
      <c r="O15">
        <v>2</v>
      </c>
      <c r="P15" s="1">
        <v>6.28</v>
      </c>
      <c r="Q15">
        <v>6</v>
      </c>
      <c r="R15" s="1">
        <v>8.31</v>
      </c>
      <c r="S15">
        <v>5</v>
      </c>
      <c r="T15" s="1">
        <v>9.73</v>
      </c>
      <c r="U15" s="1">
        <v>40.32</v>
      </c>
      <c r="V15">
        <v>0</v>
      </c>
      <c r="W15" s="1">
        <v>0</v>
      </c>
      <c r="X15">
        <v>14</v>
      </c>
      <c r="Y15" s="1">
        <v>0</v>
      </c>
      <c r="Z15">
        <v>50</v>
      </c>
      <c r="AA15" s="1">
        <v>159.84</v>
      </c>
      <c r="AB15">
        <v>5</v>
      </c>
      <c r="AC15" s="1">
        <v>10.35</v>
      </c>
      <c r="AD15">
        <v>3</v>
      </c>
      <c r="AE15" s="1">
        <v>4.2300000000000004</v>
      </c>
      <c r="AF15" s="1">
        <v>0</v>
      </c>
      <c r="AG15" s="1">
        <v>0</v>
      </c>
      <c r="AH15" s="1">
        <v>0</v>
      </c>
      <c r="AI15" s="1">
        <v>0</v>
      </c>
      <c r="AJ15" s="1">
        <v>174.19</v>
      </c>
      <c r="AL15" s="1">
        <v>1957.84</v>
      </c>
      <c r="AM15" s="1">
        <v>0</v>
      </c>
      <c r="AN15" s="1">
        <v>289</v>
      </c>
      <c r="AO15" s="1">
        <v>0</v>
      </c>
      <c r="AP15" s="1">
        <v>4.82</v>
      </c>
      <c r="AQ15">
        <v>18</v>
      </c>
      <c r="AR15" s="1">
        <v>161.86000000000001</v>
      </c>
      <c r="AS15">
        <v>104</v>
      </c>
      <c r="AT15" s="1">
        <v>868.88</v>
      </c>
      <c r="AU15">
        <v>27</v>
      </c>
      <c r="AV15" s="1">
        <v>210.01</v>
      </c>
      <c r="AW15">
        <v>3</v>
      </c>
      <c r="AX15" s="1">
        <v>18.010000000000002</v>
      </c>
      <c r="AY15">
        <v>38</v>
      </c>
      <c r="AZ15" s="1">
        <v>233.19</v>
      </c>
      <c r="BC15">
        <v>2</v>
      </c>
      <c r="BD15" s="1">
        <v>38.57</v>
      </c>
      <c r="BE15">
        <v>5</v>
      </c>
      <c r="BF15" s="1">
        <v>35.83</v>
      </c>
      <c r="BG15">
        <v>3</v>
      </c>
      <c r="BH15" s="1">
        <v>36.75</v>
      </c>
      <c r="BK15">
        <v>2</v>
      </c>
      <c r="BL15" s="1">
        <v>9.4499999999999993</v>
      </c>
      <c r="BM15">
        <v>1</v>
      </c>
      <c r="BN15" s="1">
        <v>14.7</v>
      </c>
      <c r="BO15" s="1">
        <v>13.5</v>
      </c>
      <c r="BP15">
        <v>11</v>
      </c>
      <c r="BQ15" s="1">
        <v>182.08</v>
      </c>
      <c r="BR15" s="1">
        <v>172.28</v>
      </c>
      <c r="BZ15">
        <v>1</v>
      </c>
      <c r="CA15">
        <v>5</v>
      </c>
      <c r="CB15" s="1">
        <v>38.520000000000003</v>
      </c>
      <c r="CG15">
        <v>14</v>
      </c>
      <c r="CH15">
        <v>14</v>
      </c>
    </row>
    <row r="16" spans="1:86" x14ac:dyDescent="0.35">
      <c r="A16">
        <v>351323</v>
      </c>
      <c r="B16" s="2">
        <v>44197</v>
      </c>
      <c r="C16" s="2">
        <v>44197</v>
      </c>
      <c r="D16">
        <v>113</v>
      </c>
      <c r="E16" s="1">
        <v>370.55</v>
      </c>
      <c r="F16" s="1">
        <v>1288.32</v>
      </c>
      <c r="G16" s="1">
        <v>613.36</v>
      </c>
      <c r="H16" s="1">
        <v>721.09</v>
      </c>
      <c r="I16" s="1">
        <v>95.46</v>
      </c>
      <c r="J16" s="1">
        <v>2874.15</v>
      </c>
      <c r="K16" s="1">
        <v>370.17</v>
      </c>
      <c r="L16">
        <v>445</v>
      </c>
      <c r="M16" s="1">
        <v>374.25</v>
      </c>
      <c r="N16" s="1">
        <v>2997.49</v>
      </c>
      <c r="O16">
        <v>0</v>
      </c>
      <c r="P16" s="1">
        <v>0</v>
      </c>
      <c r="Q16">
        <v>3</v>
      </c>
      <c r="R16" s="1">
        <v>0.48</v>
      </c>
      <c r="S16">
        <v>27</v>
      </c>
      <c r="T16" s="1">
        <v>66.39</v>
      </c>
      <c r="U16" s="1">
        <v>60.55</v>
      </c>
      <c r="V16">
        <v>1</v>
      </c>
      <c r="W16" s="1">
        <v>10</v>
      </c>
      <c r="X16">
        <v>16</v>
      </c>
      <c r="Y16" s="1">
        <v>0</v>
      </c>
      <c r="Z16">
        <v>102</v>
      </c>
      <c r="AA16" s="1">
        <v>311.97000000000003</v>
      </c>
      <c r="AB16">
        <v>4</v>
      </c>
      <c r="AC16" s="1">
        <v>9.86</v>
      </c>
      <c r="AD16">
        <v>6</v>
      </c>
      <c r="AE16" s="1">
        <v>21.83</v>
      </c>
      <c r="AF16" s="1">
        <v>12</v>
      </c>
      <c r="AG16" s="1">
        <v>12</v>
      </c>
      <c r="AH16" s="1">
        <v>0</v>
      </c>
      <c r="AI16" s="1">
        <v>0</v>
      </c>
      <c r="AJ16" s="1">
        <v>194.56</v>
      </c>
      <c r="AL16" s="1">
        <v>3244.32</v>
      </c>
      <c r="AM16" s="1">
        <v>12</v>
      </c>
      <c r="AN16" s="1">
        <v>404</v>
      </c>
      <c r="AO16" s="1">
        <v>0</v>
      </c>
      <c r="AP16" s="1">
        <v>-354.72</v>
      </c>
      <c r="AQ16">
        <v>53</v>
      </c>
      <c r="AR16" s="1">
        <v>348.64</v>
      </c>
      <c r="AS16">
        <v>192</v>
      </c>
      <c r="AT16" s="1">
        <v>1661.73</v>
      </c>
      <c r="AU16">
        <v>10</v>
      </c>
      <c r="AV16" s="1">
        <v>82.98</v>
      </c>
      <c r="AW16">
        <v>5</v>
      </c>
      <c r="AX16" s="1">
        <v>37.64</v>
      </c>
      <c r="AY16">
        <v>52</v>
      </c>
      <c r="AZ16" s="1">
        <v>291.12</v>
      </c>
      <c r="BA16">
        <v>1</v>
      </c>
      <c r="BB16" s="1">
        <v>24.92</v>
      </c>
      <c r="BE16">
        <v>10</v>
      </c>
      <c r="BF16" s="1">
        <v>61.84</v>
      </c>
      <c r="BG16">
        <v>4</v>
      </c>
      <c r="BH16" s="1">
        <v>41.65</v>
      </c>
      <c r="BK16">
        <v>4</v>
      </c>
      <c r="BL16" s="1">
        <v>42.2</v>
      </c>
      <c r="BM16">
        <v>1</v>
      </c>
      <c r="BN16" s="1">
        <v>17.78</v>
      </c>
      <c r="BO16" s="1">
        <v>16.77</v>
      </c>
      <c r="BP16">
        <v>1</v>
      </c>
      <c r="BQ16" s="1">
        <v>29.12</v>
      </c>
      <c r="BR16" s="1">
        <v>27.47</v>
      </c>
      <c r="BZ16">
        <v>1</v>
      </c>
      <c r="CA16">
        <v>4</v>
      </c>
      <c r="CB16" s="1">
        <v>62.54</v>
      </c>
      <c r="CG16">
        <v>15</v>
      </c>
      <c r="CH16">
        <v>15</v>
      </c>
    </row>
    <row r="17" spans="1:86" x14ac:dyDescent="0.35">
      <c r="A17">
        <v>352613</v>
      </c>
      <c r="B17" s="2">
        <v>44197</v>
      </c>
      <c r="C17" s="2">
        <v>44197</v>
      </c>
      <c r="D17">
        <v>238</v>
      </c>
      <c r="E17" s="1">
        <v>786.26</v>
      </c>
      <c r="F17" s="1">
        <v>2833.36</v>
      </c>
      <c r="G17" s="1">
        <v>1567.51</v>
      </c>
      <c r="H17" s="1">
        <v>1348.55</v>
      </c>
      <c r="I17" s="1">
        <v>217.21</v>
      </c>
      <c r="J17" s="1">
        <v>6331.47</v>
      </c>
      <c r="K17" s="1">
        <v>639.20000000000005</v>
      </c>
      <c r="L17">
        <v>1028</v>
      </c>
      <c r="M17" s="1">
        <v>658.47</v>
      </c>
      <c r="N17" s="1">
        <v>6611.25</v>
      </c>
      <c r="O17">
        <v>3</v>
      </c>
      <c r="P17" s="1">
        <v>51.22</v>
      </c>
      <c r="Q17">
        <v>37</v>
      </c>
      <c r="R17" s="1">
        <v>18.72</v>
      </c>
      <c r="S17">
        <v>37</v>
      </c>
      <c r="T17" s="1">
        <v>99.41</v>
      </c>
      <c r="U17" s="1">
        <v>129.69999999999999</v>
      </c>
      <c r="V17">
        <v>2</v>
      </c>
      <c r="W17" s="1">
        <v>40</v>
      </c>
      <c r="X17">
        <v>39</v>
      </c>
      <c r="Y17" s="1">
        <v>0</v>
      </c>
      <c r="Z17">
        <v>202</v>
      </c>
      <c r="AA17" s="1">
        <v>923.3</v>
      </c>
      <c r="AB17">
        <v>26</v>
      </c>
      <c r="AC17" s="1">
        <v>81.260000000000005</v>
      </c>
      <c r="AD17">
        <v>11</v>
      </c>
      <c r="AE17" s="1">
        <v>28.32</v>
      </c>
      <c r="AF17" s="1">
        <v>1</v>
      </c>
      <c r="AG17" s="1">
        <v>1</v>
      </c>
      <c r="AH17" s="1">
        <v>0</v>
      </c>
      <c r="AI17" s="1">
        <v>0</v>
      </c>
      <c r="AJ17" s="1">
        <v>558.05999999999995</v>
      </c>
      <c r="AL17" s="1">
        <v>6970.67</v>
      </c>
      <c r="AM17" s="1">
        <v>1</v>
      </c>
      <c r="AN17" s="1">
        <v>896</v>
      </c>
      <c r="AO17" s="1">
        <v>0</v>
      </c>
      <c r="AP17" s="1">
        <v>-1034.29</v>
      </c>
      <c r="AQ17">
        <v>118</v>
      </c>
      <c r="AR17" s="1">
        <v>963.72</v>
      </c>
      <c r="AS17">
        <v>405</v>
      </c>
      <c r="AT17" s="1">
        <v>3082.75</v>
      </c>
      <c r="AU17">
        <v>29</v>
      </c>
      <c r="AV17" s="1">
        <v>235.83</v>
      </c>
      <c r="AW17">
        <v>6</v>
      </c>
      <c r="AX17" s="1">
        <v>41.86</v>
      </c>
      <c r="AY17">
        <v>86</v>
      </c>
      <c r="AZ17" s="1">
        <v>485.64</v>
      </c>
      <c r="BA17">
        <v>2</v>
      </c>
      <c r="BB17" s="1">
        <v>12.29</v>
      </c>
      <c r="BE17">
        <v>19</v>
      </c>
      <c r="BF17" s="1">
        <v>161.25</v>
      </c>
      <c r="BG17">
        <v>4</v>
      </c>
      <c r="BH17" s="1">
        <v>16.579999999999998</v>
      </c>
      <c r="BK17">
        <v>13</v>
      </c>
      <c r="BL17" s="1">
        <v>79.489999999999995</v>
      </c>
      <c r="BM17">
        <v>6</v>
      </c>
      <c r="BN17" s="1">
        <v>108.31</v>
      </c>
      <c r="BO17" s="1">
        <v>100.29</v>
      </c>
      <c r="BP17">
        <v>9</v>
      </c>
      <c r="BQ17" s="1">
        <v>159.44999999999999</v>
      </c>
      <c r="BR17" s="1">
        <v>119.66</v>
      </c>
      <c r="BZ17">
        <v>1</v>
      </c>
      <c r="CA17">
        <v>20</v>
      </c>
      <c r="CB17" s="1">
        <v>292.27</v>
      </c>
      <c r="CG17">
        <v>16</v>
      </c>
      <c r="CH17">
        <v>16</v>
      </c>
    </row>
    <row r="18" spans="1:86" x14ac:dyDescent="0.35">
      <c r="A18">
        <v>353927</v>
      </c>
      <c r="B18" s="2">
        <v>44197</v>
      </c>
      <c r="C18" s="2">
        <v>44197</v>
      </c>
      <c r="D18">
        <v>106</v>
      </c>
      <c r="E18" s="1">
        <v>403.48</v>
      </c>
      <c r="F18" s="1">
        <v>1026.2</v>
      </c>
      <c r="G18" s="1">
        <v>534.09</v>
      </c>
      <c r="H18" s="1">
        <v>446.58</v>
      </c>
      <c r="I18" s="1">
        <v>36.35</v>
      </c>
      <c r="J18" s="1">
        <v>2129.21</v>
      </c>
      <c r="K18" s="1">
        <v>0</v>
      </c>
      <c r="L18">
        <v>303</v>
      </c>
      <c r="M18" s="1">
        <v>0</v>
      </c>
      <c r="N18" s="1">
        <v>2231.48</v>
      </c>
      <c r="O18">
        <v>2</v>
      </c>
      <c r="P18" s="1">
        <v>17.88</v>
      </c>
      <c r="Q18">
        <v>1</v>
      </c>
      <c r="R18" s="1">
        <v>0.18</v>
      </c>
      <c r="S18">
        <v>25</v>
      </c>
      <c r="T18" s="1">
        <v>35.549999999999997</v>
      </c>
      <c r="U18" s="1">
        <v>48.66</v>
      </c>
      <c r="V18">
        <v>0</v>
      </c>
      <c r="W18" s="1">
        <v>0</v>
      </c>
      <c r="X18">
        <v>8</v>
      </c>
      <c r="Y18" s="1">
        <v>0</v>
      </c>
      <c r="Z18">
        <v>58</v>
      </c>
      <c r="AA18" s="1">
        <v>157.16</v>
      </c>
      <c r="AB18">
        <v>6</v>
      </c>
      <c r="AC18" s="1">
        <v>14.69</v>
      </c>
      <c r="AD18">
        <v>2</v>
      </c>
      <c r="AE18" s="1">
        <v>0</v>
      </c>
      <c r="AF18" s="1">
        <v>0</v>
      </c>
      <c r="AG18" s="1">
        <v>0</v>
      </c>
      <c r="AH18" s="1">
        <v>0</v>
      </c>
      <c r="AI18" s="1">
        <v>0</v>
      </c>
      <c r="AJ18" s="1">
        <v>127.76</v>
      </c>
      <c r="AL18" s="1">
        <v>2129.21</v>
      </c>
      <c r="AM18" s="1">
        <v>0</v>
      </c>
      <c r="AN18" s="1">
        <v>516</v>
      </c>
      <c r="AO18" s="1">
        <v>21.95</v>
      </c>
      <c r="AP18" s="1">
        <v>0.71</v>
      </c>
      <c r="AQ18">
        <v>41</v>
      </c>
      <c r="AR18" s="1">
        <v>355.47</v>
      </c>
      <c r="AS18">
        <v>133</v>
      </c>
      <c r="AT18" s="1">
        <v>1051.28</v>
      </c>
      <c r="AU18">
        <v>3</v>
      </c>
      <c r="AV18" s="1">
        <v>12.35</v>
      </c>
      <c r="AW18">
        <v>2</v>
      </c>
      <c r="AX18" s="1">
        <v>19.55</v>
      </c>
      <c r="AY18">
        <v>36</v>
      </c>
      <c r="AZ18" s="1">
        <v>161.38999999999999</v>
      </c>
      <c r="BA18">
        <v>1</v>
      </c>
      <c r="BB18" s="1">
        <v>1.26</v>
      </c>
      <c r="BE18">
        <v>2</v>
      </c>
      <c r="BF18" s="1">
        <v>7.38</v>
      </c>
      <c r="BM18">
        <v>1</v>
      </c>
      <c r="BN18" s="1">
        <v>17</v>
      </c>
      <c r="BO18" s="1">
        <v>16.04</v>
      </c>
      <c r="BZ18">
        <v>1</v>
      </c>
      <c r="CA18">
        <v>6</v>
      </c>
      <c r="CB18" s="1">
        <v>94.05</v>
      </c>
      <c r="CG18">
        <v>17</v>
      </c>
      <c r="CH18">
        <v>17</v>
      </c>
    </row>
    <row r="19" spans="1:86" x14ac:dyDescent="0.35">
      <c r="A19">
        <v>354030</v>
      </c>
      <c r="B19" s="2">
        <v>44197</v>
      </c>
      <c r="C19" s="2">
        <v>44197</v>
      </c>
      <c r="D19">
        <v>127</v>
      </c>
      <c r="E19" s="1">
        <v>405.32</v>
      </c>
      <c r="F19" s="1">
        <v>1141.27</v>
      </c>
      <c r="G19" s="1">
        <v>644.64</v>
      </c>
      <c r="H19" s="1">
        <v>490.82</v>
      </c>
      <c r="I19" s="1">
        <v>127.46</v>
      </c>
      <c r="J19" s="1">
        <v>2573.83</v>
      </c>
      <c r="K19" s="1">
        <v>141.52000000000001</v>
      </c>
      <c r="L19">
        <v>366</v>
      </c>
      <c r="M19" s="1">
        <v>147.21</v>
      </c>
      <c r="N19" s="1">
        <v>2726.83</v>
      </c>
      <c r="O19">
        <v>0</v>
      </c>
      <c r="P19" s="1">
        <v>0</v>
      </c>
      <c r="Q19">
        <v>4</v>
      </c>
      <c r="R19" s="1">
        <v>13.36</v>
      </c>
      <c r="S19">
        <v>25</v>
      </c>
      <c r="T19" s="1">
        <v>76.400000000000006</v>
      </c>
      <c r="U19" s="1">
        <v>68.930000000000007</v>
      </c>
      <c r="V19">
        <v>0</v>
      </c>
      <c r="W19" s="1">
        <v>0</v>
      </c>
      <c r="X19">
        <v>8</v>
      </c>
      <c r="Y19" s="1">
        <v>0</v>
      </c>
      <c r="Z19">
        <v>57</v>
      </c>
      <c r="AA19" s="1">
        <v>176.39</v>
      </c>
      <c r="AB19">
        <v>7</v>
      </c>
      <c r="AC19" s="1">
        <v>14.33</v>
      </c>
      <c r="AD19">
        <v>1</v>
      </c>
      <c r="AE19" s="1">
        <v>0</v>
      </c>
      <c r="AF19" s="1">
        <v>0</v>
      </c>
      <c r="AG19" s="1">
        <v>0</v>
      </c>
      <c r="AH19" s="1">
        <v>0</v>
      </c>
      <c r="AI19" s="1">
        <v>0</v>
      </c>
      <c r="AJ19" s="1">
        <v>162.88</v>
      </c>
      <c r="AL19" s="1">
        <v>2715.35</v>
      </c>
      <c r="AM19" s="1">
        <v>0</v>
      </c>
      <c r="AN19" s="1">
        <v>438</v>
      </c>
      <c r="AO19" s="1">
        <v>0</v>
      </c>
      <c r="AP19" s="1">
        <v>-3.51</v>
      </c>
      <c r="AQ19">
        <v>49</v>
      </c>
      <c r="AR19" s="1">
        <v>466.37</v>
      </c>
      <c r="AS19">
        <v>152</v>
      </c>
      <c r="AT19" s="1">
        <v>1210.27</v>
      </c>
      <c r="AU19">
        <v>14</v>
      </c>
      <c r="AV19" s="1">
        <v>140.56</v>
      </c>
      <c r="AW19">
        <v>8</v>
      </c>
      <c r="AX19" s="1">
        <v>76</v>
      </c>
      <c r="AY19">
        <v>46</v>
      </c>
      <c r="AZ19" s="1">
        <v>294.57</v>
      </c>
      <c r="BA19">
        <v>1</v>
      </c>
      <c r="BB19" s="1">
        <v>12.68</v>
      </c>
      <c r="BC19">
        <v>1</v>
      </c>
      <c r="BD19" s="1">
        <v>5.3</v>
      </c>
      <c r="BE19">
        <v>19</v>
      </c>
      <c r="BF19" s="1">
        <v>164.26</v>
      </c>
      <c r="BG19">
        <v>1</v>
      </c>
      <c r="BH19" s="1">
        <v>4.96</v>
      </c>
      <c r="BK19">
        <v>6</v>
      </c>
      <c r="BL19" s="1">
        <v>38.270000000000003</v>
      </c>
      <c r="BZ19">
        <v>1</v>
      </c>
      <c r="CA19">
        <v>3</v>
      </c>
      <c r="CB19" s="1">
        <v>23.48</v>
      </c>
      <c r="CG19">
        <v>18</v>
      </c>
      <c r="CH19">
        <v>18</v>
      </c>
    </row>
    <row r="20" spans="1:86" x14ac:dyDescent="0.35">
      <c r="A20">
        <v>355439</v>
      </c>
      <c r="B20" s="2">
        <v>44197</v>
      </c>
      <c r="C20" s="2">
        <v>44197</v>
      </c>
      <c r="D20">
        <v>193</v>
      </c>
      <c r="E20" s="1">
        <v>583.04</v>
      </c>
      <c r="F20" s="1">
        <v>1594.25</v>
      </c>
      <c r="G20" s="1">
        <v>789.42</v>
      </c>
      <c r="H20" s="1">
        <v>804.67</v>
      </c>
      <c r="I20" s="1">
        <v>93.01</v>
      </c>
      <c r="J20" s="1">
        <v>3482.11</v>
      </c>
      <c r="K20" s="1">
        <v>0</v>
      </c>
      <c r="L20">
        <v>494</v>
      </c>
      <c r="M20" s="1">
        <v>0</v>
      </c>
      <c r="N20" s="1">
        <v>3617.57</v>
      </c>
      <c r="O20">
        <v>3</v>
      </c>
      <c r="P20" s="1">
        <v>14.26</v>
      </c>
      <c r="Q20">
        <v>8</v>
      </c>
      <c r="R20" s="1">
        <v>8.69</v>
      </c>
      <c r="S20">
        <v>21</v>
      </c>
      <c r="T20" s="1">
        <v>59.19</v>
      </c>
      <c r="U20" s="1">
        <v>53.32</v>
      </c>
      <c r="V20">
        <v>1</v>
      </c>
      <c r="W20" s="1">
        <v>20</v>
      </c>
      <c r="X20">
        <v>25</v>
      </c>
      <c r="Y20" s="1">
        <v>0</v>
      </c>
      <c r="Z20">
        <v>107</v>
      </c>
      <c r="AA20" s="1">
        <v>288.87</v>
      </c>
      <c r="AB20">
        <v>19</v>
      </c>
      <c r="AC20" s="1">
        <v>55.9</v>
      </c>
      <c r="AD20">
        <v>4</v>
      </c>
      <c r="AE20" s="1">
        <v>13.12</v>
      </c>
      <c r="AF20" s="1">
        <v>0</v>
      </c>
      <c r="AG20" s="1">
        <v>0</v>
      </c>
      <c r="AH20" s="1">
        <v>0</v>
      </c>
      <c r="AI20" s="1">
        <v>0</v>
      </c>
      <c r="AJ20" s="1">
        <v>278.83999999999997</v>
      </c>
      <c r="AL20" s="1">
        <v>3482.11</v>
      </c>
      <c r="AM20" s="1">
        <v>0</v>
      </c>
      <c r="AN20" s="1">
        <v>578</v>
      </c>
      <c r="AO20" s="1">
        <v>0</v>
      </c>
      <c r="AP20" s="1">
        <v>-2.4300000000000002</v>
      </c>
      <c r="AQ20">
        <v>69</v>
      </c>
      <c r="AR20" s="1">
        <v>450.87</v>
      </c>
      <c r="AS20">
        <v>230</v>
      </c>
      <c r="AT20" s="1">
        <v>1804.85</v>
      </c>
      <c r="AU20">
        <v>16</v>
      </c>
      <c r="AV20" s="1">
        <v>202.25</v>
      </c>
      <c r="AW20">
        <v>7</v>
      </c>
      <c r="AX20" s="1">
        <v>44.05</v>
      </c>
      <c r="AY20">
        <v>39</v>
      </c>
      <c r="AZ20" s="1">
        <v>232.18</v>
      </c>
      <c r="BC20">
        <v>1</v>
      </c>
      <c r="BD20" s="1">
        <v>9.4600000000000009</v>
      </c>
      <c r="BE20">
        <v>13</v>
      </c>
      <c r="BF20" s="1">
        <v>83.05</v>
      </c>
      <c r="BG20">
        <v>3</v>
      </c>
      <c r="BH20" s="1">
        <v>30.52</v>
      </c>
      <c r="BK20">
        <v>3</v>
      </c>
      <c r="BL20" s="1">
        <v>45.8</v>
      </c>
      <c r="BP20">
        <v>3</v>
      </c>
      <c r="BQ20" s="1">
        <v>39.57</v>
      </c>
      <c r="BR20" s="1">
        <v>36.64</v>
      </c>
      <c r="BZ20">
        <v>1</v>
      </c>
      <c r="CA20">
        <v>14</v>
      </c>
      <c r="CB20" s="1">
        <v>257.92</v>
      </c>
      <c r="CG20">
        <v>19</v>
      </c>
      <c r="CH20">
        <v>19</v>
      </c>
    </row>
    <row r="21" spans="1:86" x14ac:dyDescent="0.35">
      <c r="A21">
        <v>358682</v>
      </c>
      <c r="B21" s="2">
        <v>44197</v>
      </c>
      <c r="C21" s="2">
        <v>44197</v>
      </c>
      <c r="D21">
        <v>38</v>
      </c>
      <c r="E21">
        <v>133.42000000000002</v>
      </c>
      <c r="F21">
        <v>473.05000000000007</v>
      </c>
      <c r="G21">
        <v>110.45</v>
      </c>
      <c r="H21">
        <v>403.78</v>
      </c>
      <c r="I21">
        <v>43.529999999999994</v>
      </c>
      <c r="J21">
        <v>1056.1600000000001</v>
      </c>
      <c r="K21">
        <v>183.66</v>
      </c>
      <c r="L21">
        <v>175</v>
      </c>
      <c r="M21">
        <v>192.65</v>
      </c>
      <c r="N21">
        <v>1117.21</v>
      </c>
      <c r="O21">
        <v>0</v>
      </c>
      <c r="P21">
        <v>0</v>
      </c>
      <c r="R21">
        <v>70.039999999999992</v>
      </c>
      <c r="V21">
        <v>0</v>
      </c>
      <c r="W21">
        <v>0</v>
      </c>
      <c r="X21">
        <v>0</v>
      </c>
      <c r="Y21">
        <v>0</v>
      </c>
      <c r="Z21">
        <v>46</v>
      </c>
      <c r="AA21">
        <v>110.26</v>
      </c>
      <c r="AB21">
        <v>13</v>
      </c>
      <c r="AC21">
        <v>85.46</v>
      </c>
      <c r="AD21">
        <v>7</v>
      </c>
      <c r="AE21">
        <v>6.77</v>
      </c>
      <c r="AH21">
        <v>0</v>
      </c>
      <c r="AJ21">
        <v>109.45</v>
      </c>
      <c r="AN21">
        <v>165</v>
      </c>
      <c r="AO21">
        <v>0</v>
      </c>
      <c r="AP21">
        <v>-6.7400000000000091</v>
      </c>
      <c r="AQ21">
        <v>18</v>
      </c>
      <c r="AR21">
        <v>174.13</v>
      </c>
      <c r="AS21">
        <v>62</v>
      </c>
      <c r="AT21">
        <v>469.51</v>
      </c>
      <c r="AU21">
        <v>7</v>
      </c>
      <c r="AV21">
        <v>48.63</v>
      </c>
      <c r="AW21">
        <v>6</v>
      </c>
      <c r="AX21">
        <v>38.6</v>
      </c>
      <c r="AY21">
        <v>30</v>
      </c>
      <c r="AZ21">
        <v>141.47</v>
      </c>
      <c r="BM21">
        <v>6</v>
      </c>
      <c r="BN21">
        <v>85.19</v>
      </c>
      <c r="BP21">
        <v>12</v>
      </c>
      <c r="BQ21">
        <v>171.06</v>
      </c>
      <c r="BR21">
        <v>157.9</v>
      </c>
      <c r="BS21">
        <v>1230.67</v>
      </c>
      <c r="BV21">
        <v>5.1900000000000546</v>
      </c>
      <c r="BW21">
        <v>0</v>
      </c>
      <c r="BZ21">
        <v>1</v>
      </c>
      <c r="CA21">
        <v>3</v>
      </c>
      <c r="CB21">
        <v>43.75</v>
      </c>
      <c r="CG21">
        <v>20</v>
      </c>
      <c r="CH21">
        <v>20</v>
      </c>
    </row>
    <row r="22" spans="1:86" x14ac:dyDescent="0.35">
      <c r="A22">
        <v>357150</v>
      </c>
      <c r="B22" s="2">
        <v>44197</v>
      </c>
      <c r="C22" s="2">
        <v>44197</v>
      </c>
      <c r="D22">
        <v>132</v>
      </c>
      <c r="E22">
        <v>480.68</v>
      </c>
      <c r="F22">
        <v>1481.82</v>
      </c>
      <c r="G22">
        <v>460.86</v>
      </c>
      <c r="H22">
        <v>408.82</v>
      </c>
      <c r="I22">
        <v>95.82</v>
      </c>
      <c r="J22">
        <v>2585.25</v>
      </c>
      <c r="K22">
        <v>209.58</v>
      </c>
      <c r="L22">
        <v>378</v>
      </c>
      <c r="M22">
        <v>210.4</v>
      </c>
      <c r="N22">
        <v>2666.2</v>
      </c>
      <c r="O22">
        <v>2</v>
      </c>
      <c r="P22">
        <v>8.3800000000000008</v>
      </c>
      <c r="R22">
        <v>81.77</v>
      </c>
      <c r="V22">
        <v>0</v>
      </c>
      <c r="W22">
        <v>0</v>
      </c>
      <c r="X22">
        <v>0</v>
      </c>
      <c r="Y22">
        <v>0</v>
      </c>
      <c r="Z22">
        <v>63</v>
      </c>
      <c r="AA22">
        <v>190.25</v>
      </c>
      <c r="AB22">
        <v>12</v>
      </c>
      <c r="AC22">
        <v>89.91</v>
      </c>
      <c r="AD22">
        <v>13</v>
      </c>
      <c r="AE22">
        <v>17.95</v>
      </c>
      <c r="AG22">
        <v>1</v>
      </c>
      <c r="AH22">
        <v>0</v>
      </c>
      <c r="AJ22">
        <v>223.72</v>
      </c>
      <c r="AN22">
        <v>826</v>
      </c>
      <c r="AO22">
        <v>0</v>
      </c>
      <c r="AP22">
        <v>10.299999999999955</v>
      </c>
      <c r="AQ22">
        <v>63</v>
      </c>
      <c r="AR22">
        <v>478.53</v>
      </c>
      <c r="AS22">
        <v>145</v>
      </c>
      <c r="AT22">
        <v>1336.86</v>
      </c>
      <c r="AU22">
        <v>5</v>
      </c>
      <c r="AV22">
        <v>39.76</v>
      </c>
      <c r="AW22">
        <v>5</v>
      </c>
      <c r="AX22">
        <v>35.729999999999997</v>
      </c>
      <c r="AY22">
        <v>51</v>
      </c>
      <c r="AZ22">
        <v>312.97000000000003</v>
      </c>
      <c r="BS22">
        <v>2794.83</v>
      </c>
      <c r="BV22">
        <v>6.5700000000001637</v>
      </c>
      <c r="BW22">
        <v>6.57</v>
      </c>
      <c r="BZ22">
        <v>1</v>
      </c>
      <c r="CG22">
        <v>21</v>
      </c>
      <c r="CH22">
        <v>21</v>
      </c>
    </row>
    <row r="23" spans="1:86" x14ac:dyDescent="0.35">
      <c r="A23">
        <v>350432</v>
      </c>
      <c r="B23" s="2">
        <v>44198</v>
      </c>
      <c r="C23" s="2">
        <v>44198</v>
      </c>
      <c r="D23">
        <v>149</v>
      </c>
      <c r="E23" s="1">
        <v>499</v>
      </c>
      <c r="F23" s="1">
        <v>1756.47</v>
      </c>
      <c r="G23" s="1">
        <v>446.38</v>
      </c>
      <c r="H23" s="1">
        <v>944.74</v>
      </c>
      <c r="I23" s="1">
        <v>115.34</v>
      </c>
      <c r="J23" s="1">
        <v>3484.03</v>
      </c>
      <c r="K23" s="1">
        <v>778.4</v>
      </c>
      <c r="L23">
        <v>665</v>
      </c>
      <c r="M23" s="1">
        <v>787.43</v>
      </c>
      <c r="N23" s="1">
        <v>3603.93</v>
      </c>
      <c r="O23">
        <v>3</v>
      </c>
      <c r="P23" s="1">
        <v>21.12</v>
      </c>
      <c r="Q23">
        <v>10</v>
      </c>
      <c r="R23" s="1">
        <v>2.8</v>
      </c>
      <c r="S23">
        <v>19</v>
      </c>
      <c r="T23" s="1">
        <v>39.35</v>
      </c>
      <c r="U23" s="1">
        <v>65.66</v>
      </c>
      <c r="V23">
        <v>0</v>
      </c>
      <c r="W23" s="1">
        <v>0</v>
      </c>
      <c r="X23">
        <v>23</v>
      </c>
      <c r="Y23" s="1">
        <v>0</v>
      </c>
      <c r="Z23">
        <v>122</v>
      </c>
      <c r="AA23" s="1">
        <v>542.57000000000005</v>
      </c>
      <c r="AB23">
        <v>15</v>
      </c>
      <c r="AC23" s="1">
        <v>39.75</v>
      </c>
      <c r="AD23">
        <v>4</v>
      </c>
      <c r="AE23" s="1">
        <v>9.75</v>
      </c>
      <c r="AF23" s="1">
        <v>0</v>
      </c>
      <c r="AG23" s="1">
        <v>0</v>
      </c>
      <c r="AH23" s="1">
        <v>0</v>
      </c>
      <c r="AI23" s="1">
        <v>0</v>
      </c>
      <c r="AJ23" s="1">
        <v>379.21</v>
      </c>
      <c r="AL23" s="1">
        <v>4262.43</v>
      </c>
      <c r="AM23" s="1">
        <v>0</v>
      </c>
      <c r="AN23" s="1">
        <v>882</v>
      </c>
      <c r="AO23" s="1">
        <v>48.4</v>
      </c>
      <c r="AP23" s="1">
        <v>-5.66</v>
      </c>
      <c r="AQ23">
        <v>84</v>
      </c>
      <c r="AR23" s="1">
        <v>673.69</v>
      </c>
      <c r="AS23">
        <v>287</v>
      </c>
      <c r="AT23" s="1">
        <v>1898.81</v>
      </c>
      <c r="AU23">
        <v>30</v>
      </c>
      <c r="AV23" s="1">
        <v>290.82</v>
      </c>
      <c r="AW23">
        <v>9</v>
      </c>
      <c r="AX23" s="1">
        <v>63.58</v>
      </c>
      <c r="AY23">
        <v>55</v>
      </c>
      <c r="AZ23" s="1">
        <v>306.27</v>
      </c>
      <c r="BC23">
        <v>1</v>
      </c>
      <c r="BD23" s="1">
        <v>17.95</v>
      </c>
      <c r="BE23">
        <v>12</v>
      </c>
      <c r="BF23" s="1">
        <v>68.099999999999994</v>
      </c>
      <c r="BG23">
        <v>2</v>
      </c>
      <c r="BH23" s="1">
        <v>7.49</v>
      </c>
      <c r="BK23">
        <v>8</v>
      </c>
      <c r="BL23" s="1">
        <v>62.37</v>
      </c>
      <c r="BP23">
        <v>15</v>
      </c>
      <c r="BQ23" s="1">
        <v>197.72</v>
      </c>
      <c r="BR23" s="1">
        <v>185.43</v>
      </c>
      <c r="BZ23">
        <v>1</v>
      </c>
      <c r="CA23">
        <v>7</v>
      </c>
      <c r="CB23" s="1">
        <v>118.78</v>
      </c>
      <c r="CG23">
        <v>22</v>
      </c>
      <c r="CH23">
        <v>22</v>
      </c>
    </row>
    <row r="24" spans="1:86" x14ac:dyDescent="0.35">
      <c r="A24">
        <v>350437</v>
      </c>
      <c r="B24" s="2">
        <v>44198</v>
      </c>
      <c r="C24" s="2">
        <v>44198</v>
      </c>
      <c r="D24">
        <v>59</v>
      </c>
      <c r="E24" s="1">
        <v>194.54</v>
      </c>
      <c r="F24" s="1">
        <v>879.03</v>
      </c>
      <c r="G24" s="1">
        <v>360.44</v>
      </c>
      <c r="H24" s="1">
        <v>481.86</v>
      </c>
      <c r="I24" s="1">
        <v>62.58</v>
      </c>
      <c r="J24" s="1">
        <v>1934.5</v>
      </c>
      <c r="K24" s="1">
        <v>0</v>
      </c>
      <c r="L24">
        <v>313</v>
      </c>
      <c r="M24" s="1">
        <v>0</v>
      </c>
      <c r="N24" s="1">
        <v>1996.77</v>
      </c>
      <c r="O24">
        <v>0</v>
      </c>
      <c r="P24" s="1">
        <v>0</v>
      </c>
      <c r="Q24">
        <v>4</v>
      </c>
      <c r="R24" s="1">
        <v>5.66</v>
      </c>
      <c r="S24">
        <v>11</v>
      </c>
      <c r="T24" s="1">
        <v>25.77</v>
      </c>
      <c r="U24" s="1">
        <v>30.84</v>
      </c>
      <c r="V24">
        <v>1</v>
      </c>
      <c r="W24" s="1">
        <v>20</v>
      </c>
      <c r="X24">
        <v>18</v>
      </c>
      <c r="Y24" s="1">
        <v>0</v>
      </c>
      <c r="Z24">
        <v>50</v>
      </c>
      <c r="AA24" s="1">
        <v>111.87</v>
      </c>
      <c r="AB24">
        <v>0</v>
      </c>
      <c r="AC24" s="1">
        <v>0</v>
      </c>
      <c r="AD24">
        <v>0</v>
      </c>
      <c r="AE24" s="1">
        <v>0</v>
      </c>
      <c r="AF24" s="1">
        <v>0</v>
      </c>
      <c r="AG24" s="1">
        <v>0</v>
      </c>
      <c r="AH24" s="1">
        <v>0</v>
      </c>
      <c r="AI24" s="1">
        <v>0</v>
      </c>
      <c r="AJ24" s="1">
        <v>172.03</v>
      </c>
      <c r="AL24" s="1">
        <v>1934.5</v>
      </c>
      <c r="AM24" s="1">
        <v>0</v>
      </c>
      <c r="AN24" s="1">
        <v>517</v>
      </c>
      <c r="AO24" s="1">
        <v>0</v>
      </c>
      <c r="AP24" s="1">
        <v>4.83</v>
      </c>
      <c r="AQ24">
        <v>24</v>
      </c>
      <c r="AR24" s="1">
        <v>183.94</v>
      </c>
      <c r="AS24">
        <v>127</v>
      </c>
      <c r="AT24" s="1">
        <v>868.32</v>
      </c>
      <c r="AU24">
        <v>19</v>
      </c>
      <c r="AV24" s="1">
        <v>144.63</v>
      </c>
      <c r="AW24">
        <v>4</v>
      </c>
      <c r="AX24" s="1">
        <v>33.94</v>
      </c>
      <c r="AY24">
        <v>34</v>
      </c>
      <c r="AZ24" s="1">
        <v>176.25</v>
      </c>
      <c r="BE24">
        <v>10</v>
      </c>
      <c r="BF24" s="1">
        <v>51.27</v>
      </c>
      <c r="BG24">
        <v>1</v>
      </c>
      <c r="BH24" s="1">
        <v>3.68</v>
      </c>
      <c r="BK24">
        <v>1</v>
      </c>
      <c r="BL24" s="1">
        <v>9.2200000000000006</v>
      </c>
      <c r="BP24">
        <v>9</v>
      </c>
      <c r="BQ24" s="1">
        <v>104.87</v>
      </c>
      <c r="BR24" s="1">
        <v>96.3</v>
      </c>
      <c r="BZ24">
        <v>1</v>
      </c>
      <c r="CA24">
        <v>5</v>
      </c>
      <c r="CB24" s="1">
        <v>38.24</v>
      </c>
      <c r="CG24">
        <v>23</v>
      </c>
      <c r="CH24">
        <v>23</v>
      </c>
    </row>
    <row r="25" spans="1:86" x14ac:dyDescent="0.35">
      <c r="A25">
        <v>351323</v>
      </c>
      <c r="B25" s="2">
        <v>44198</v>
      </c>
      <c r="C25" s="2">
        <v>44198</v>
      </c>
      <c r="D25">
        <v>137</v>
      </c>
      <c r="E25" s="1">
        <v>476.29</v>
      </c>
      <c r="F25" s="1">
        <v>1528.67</v>
      </c>
      <c r="G25" s="1">
        <v>441.43</v>
      </c>
      <c r="H25" s="1">
        <v>627.24</v>
      </c>
      <c r="I25" s="1">
        <v>98.68</v>
      </c>
      <c r="J25" s="1">
        <v>2854.08</v>
      </c>
      <c r="K25" s="1">
        <v>405.03</v>
      </c>
      <c r="L25">
        <v>541</v>
      </c>
      <c r="M25" s="1">
        <v>407.22</v>
      </c>
      <c r="N25" s="1">
        <v>2997.33</v>
      </c>
      <c r="O25">
        <v>1</v>
      </c>
      <c r="P25" s="1">
        <v>6.66</v>
      </c>
      <c r="Q25">
        <v>4</v>
      </c>
      <c r="R25" s="1">
        <v>0.73</v>
      </c>
      <c r="S25">
        <v>39</v>
      </c>
      <c r="T25" s="1">
        <v>78.5</v>
      </c>
      <c r="U25" s="1">
        <v>59.55</v>
      </c>
      <c r="V25">
        <v>0</v>
      </c>
      <c r="W25" s="1">
        <v>0</v>
      </c>
      <c r="X25">
        <v>10</v>
      </c>
      <c r="Y25" s="1">
        <v>0</v>
      </c>
      <c r="Z25">
        <v>118</v>
      </c>
      <c r="AA25" s="1">
        <v>433.76</v>
      </c>
      <c r="AB25">
        <v>19</v>
      </c>
      <c r="AC25" s="1">
        <v>48.84</v>
      </c>
      <c r="AD25">
        <v>5</v>
      </c>
      <c r="AE25" s="1">
        <v>18.43</v>
      </c>
      <c r="AF25" s="1">
        <v>0</v>
      </c>
      <c r="AG25" s="1">
        <v>0</v>
      </c>
      <c r="AH25" s="1">
        <v>0</v>
      </c>
      <c r="AI25" s="1">
        <v>0</v>
      </c>
      <c r="AJ25" s="1">
        <v>195.47</v>
      </c>
      <c r="AL25" s="1">
        <v>3259.11</v>
      </c>
      <c r="AM25" s="1">
        <v>0</v>
      </c>
      <c r="AN25" s="1">
        <v>488</v>
      </c>
      <c r="AO25" s="1">
        <v>0</v>
      </c>
      <c r="AP25" s="1">
        <v>-277.17</v>
      </c>
      <c r="AQ25">
        <v>78</v>
      </c>
      <c r="AR25" s="1">
        <v>522.54999999999995</v>
      </c>
      <c r="AS25">
        <v>226</v>
      </c>
      <c r="AT25" s="1">
        <v>1651.72</v>
      </c>
      <c r="AU25">
        <v>11</v>
      </c>
      <c r="AV25" s="1">
        <v>60.21</v>
      </c>
      <c r="AW25">
        <v>5</v>
      </c>
      <c r="AX25" s="1">
        <v>25.2</v>
      </c>
      <c r="AY25">
        <v>64</v>
      </c>
      <c r="AZ25" s="1">
        <v>363.67</v>
      </c>
      <c r="BE25">
        <v>10</v>
      </c>
      <c r="BF25" s="1">
        <v>56.45</v>
      </c>
      <c r="BK25">
        <v>2</v>
      </c>
      <c r="BL25" s="1">
        <v>9.61</v>
      </c>
      <c r="BZ25">
        <v>1</v>
      </c>
      <c r="CG25">
        <v>24</v>
      </c>
      <c r="CH25">
        <v>24</v>
      </c>
    </row>
    <row r="26" spans="1:86" x14ac:dyDescent="0.35">
      <c r="A26">
        <v>352613</v>
      </c>
      <c r="B26" s="2">
        <v>44198</v>
      </c>
      <c r="C26" s="2">
        <v>44198</v>
      </c>
      <c r="D26">
        <v>83</v>
      </c>
      <c r="E26" s="1">
        <v>300.99</v>
      </c>
      <c r="F26" s="1">
        <v>1361.27</v>
      </c>
      <c r="G26" s="1">
        <v>697.09</v>
      </c>
      <c r="H26" s="1">
        <v>513.51</v>
      </c>
      <c r="I26" s="1">
        <v>107.25</v>
      </c>
      <c r="J26" s="1">
        <v>2825.52</v>
      </c>
      <c r="K26" s="1">
        <v>321.56</v>
      </c>
      <c r="L26">
        <v>501</v>
      </c>
      <c r="M26" s="1">
        <v>329.82</v>
      </c>
      <c r="N26" s="1">
        <v>2922.92</v>
      </c>
      <c r="O26">
        <v>1</v>
      </c>
      <c r="P26" s="1">
        <v>2.59</v>
      </c>
      <c r="Q26">
        <v>8</v>
      </c>
      <c r="R26" s="1">
        <v>3.84</v>
      </c>
      <c r="S26">
        <v>23</v>
      </c>
      <c r="T26" s="1">
        <v>47.36</v>
      </c>
      <c r="U26" s="1">
        <v>51.87</v>
      </c>
      <c r="V26">
        <v>2</v>
      </c>
      <c r="W26" s="1">
        <v>40</v>
      </c>
      <c r="X26">
        <v>12</v>
      </c>
      <c r="Y26" s="1">
        <v>0</v>
      </c>
      <c r="Z26">
        <v>62</v>
      </c>
      <c r="AA26" s="1">
        <v>166.82</v>
      </c>
      <c r="AB26">
        <v>23</v>
      </c>
      <c r="AC26" s="1">
        <v>66.31</v>
      </c>
      <c r="AD26">
        <v>6</v>
      </c>
      <c r="AE26" s="1">
        <v>15.52</v>
      </c>
      <c r="AF26" s="1">
        <v>0</v>
      </c>
      <c r="AG26" s="1">
        <v>0</v>
      </c>
      <c r="AH26" s="1">
        <v>0</v>
      </c>
      <c r="AI26" s="1">
        <v>0</v>
      </c>
      <c r="AJ26" s="1">
        <v>251.95</v>
      </c>
      <c r="AL26" s="1">
        <v>3147.08</v>
      </c>
      <c r="AM26" s="1">
        <v>0</v>
      </c>
      <c r="AN26" s="1">
        <v>801</v>
      </c>
      <c r="AO26" s="1">
        <v>4.41</v>
      </c>
      <c r="AP26" s="1">
        <v>-1.41</v>
      </c>
      <c r="AQ26">
        <v>65</v>
      </c>
      <c r="AR26" s="1">
        <v>620.16999999999996</v>
      </c>
      <c r="AS26">
        <v>205</v>
      </c>
      <c r="AT26" s="1">
        <v>1438.74</v>
      </c>
      <c r="AU26">
        <v>6</v>
      </c>
      <c r="AV26" s="1">
        <v>39.68</v>
      </c>
      <c r="AW26">
        <v>5</v>
      </c>
      <c r="AX26" s="1">
        <v>50.43</v>
      </c>
      <c r="AY26">
        <v>47</v>
      </c>
      <c r="AZ26" s="1">
        <v>195.61</v>
      </c>
      <c r="BE26">
        <v>9</v>
      </c>
      <c r="BF26" s="1">
        <v>49.45</v>
      </c>
      <c r="BG26">
        <v>2</v>
      </c>
      <c r="BH26" s="1">
        <v>8.7200000000000006</v>
      </c>
      <c r="BK26">
        <v>7</v>
      </c>
      <c r="BL26" s="1">
        <v>58.11</v>
      </c>
      <c r="BM26">
        <v>1</v>
      </c>
      <c r="BN26" s="1">
        <v>18.96</v>
      </c>
      <c r="BO26" s="1">
        <v>17.559999999999999</v>
      </c>
      <c r="BP26">
        <v>8</v>
      </c>
      <c r="BQ26" s="1">
        <v>106.82</v>
      </c>
      <c r="BR26" s="1">
        <v>86.72</v>
      </c>
      <c r="BZ26">
        <v>1</v>
      </c>
      <c r="CA26">
        <v>2</v>
      </c>
      <c r="CB26" s="1">
        <v>45.52</v>
      </c>
      <c r="CG26">
        <v>25</v>
      </c>
      <c r="CH26">
        <v>25</v>
      </c>
    </row>
    <row r="27" spans="1:86" x14ac:dyDescent="0.35">
      <c r="A27">
        <v>353927</v>
      </c>
      <c r="B27" s="2">
        <v>44198</v>
      </c>
      <c r="C27" s="2">
        <v>44198</v>
      </c>
      <c r="D27">
        <v>90</v>
      </c>
      <c r="E27" s="1">
        <v>308.93</v>
      </c>
      <c r="F27" s="1">
        <v>1079.32</v>
      </c>
      <c r="G27" s="1">
        <v>449.03</v>
      </c>
      <c r="H27" s="1">
        <v>524.03</v>
      </c>
      <c r="I27" s="1">
        <v>67.040000000000006</v>
      </c>
      <c r="J27" s="1">
        <v>2221.89</v>
      </c>
      <c r="K27" s="1">
        <v>0</v>
      </c>
      <c r="L27">
        <v>341</v>
      </c>
      <c r="M27" s="1">
        <v>0</v>
      </c>
      <c r="N27" s="1">
        <v>2330.73</v>
      </c>
      <c r="O27">
        <v>1</v>
      </c>
      <c r="P27" s="1">
        <v>3.69</v>
      </c>
      <c r="Q27">
        <v>5</v>
      </c>
      <c r="R27" s="1">
        <v>4.37</v>
      </c>
      <c r="S27">
        <v>25</v>
      </c>
      <c r="T27" s="1">
        <v>43.03</v>
      </c>
      <c r="U27" s="1">
        <v>57.75</v>
      </c>
      <c r="V27">
        <v>0</v>
      </c>
      <c r="W27" s="1">
        <v>0</v>
      </c>
      <c r="X27">
        <v>5</v>
      </c>
      <c r="Y27" s="1">
        <v>0</v>
      </c>
      <c r="Z27">
        <v>56</v>
      </c>
      <c r="AA27" s="1">
        <v>184.92</v>
      </c>
      <c r="AB27">
        <v>13</v>
      </c>
      <c r="AC27" s="1">
        <v>44.06</v>
      </c>
      <c r="AD27">
        <v>2</v>
      </c>
      <c r="AE27" s="1">
        <v>2.3199999999999998</v>
      </c>
      <c r="AF27" s="1">
        <v>15</v>
      </c>
      <c r="AG27" s="1">
        <v>15</v>
      </c>
      <c r="AH27" s="1">
        <v>0</v>
      </c>
      <c r="AI27" s="1">
        <v>0</v>
      </c>
      <c r="AJ27" s="1">
        <v>133.28</v>
      </c>
      <c r="AL27" s="1">
        <v>2221.89</v>
      </c>
      <c r="AM27" s="1">
        <v>15</v>
      </c>
      <c r="AN27" s="1">
        <v>565</v>
      </c>
      <c r="AO27" s="1">
        <v>0</v>
      </c>
      <c r="AP27" s="1">
        <v>-4.33</v>
      </c>
      <c r="AQ27">
        <v>58</v>
      </c>
      <c r="AR27" s="1">
        <v>382.19</v>
      </c>
      <c r="AS27">
        <v>153</v>
      </c>
      <c r="AT27" s="1">
        <v>1183.28</v>
      </c>
      <c r="AU27">
        <v>1</v>
      </c>
      <c r="AV27" s="1">
        <v>14.69</v>
      </c>
      <c r="AW27">
        <v>1</v>
      </c>
      <c r="AX27" s="1">
        <v>9.09</v>
      </c>
      <c r="AY27">
        <v>22</v>
      </c>
      <c r="AZ27" s="1">
        <v>115.38</v>
      </c>
      <c r="BE27">
        <v>5</v>
      </c>
      <c r="BF27" s="1">
        <v>15.92</v>
      </c>
      <c r="BK27">
        <v>1</v>
      </c>
      <c r="BL27" s="1">
        <v>13.22</v>
      </c>
      <c r="BM27">
        <v>1</v>
      </c>
      <c r="BN27" s="1">
        <v>10.06</v>
      </c>
      <c r="BO27" s="1">
        <v>9.49</v>
      </c>
      <c r="BP27">
        <v>1</v>
      </c>
      <c r="BQ27" s="1">
        <v>19.12</v>
      </c>
      <c r="BR27" s="1">
        <v>18.04</v>
      </c>
      <c r="BZ27">
        <v>1</v>
      </c>
      <c r="CA27">
        <v>4</v>
      </c>
      <c r="CB27" s="1">
        <v>37.89</v>
      </c>
      <c r="CG27">
        <v>26</v>
      </c>
      <c r="CH27">
        <v>26</v>
      </c>
    </row>
    <row r="28" spans="1:86" x14ac:dyDescent="0.35">
      <c r="A28">
        <v>354030</v>
      </c>
      <c r="B28" s="2">
        <v>44198</v>
      </c>
      <c r="C28" s="2">
        <v>44198</v>
      </c>
      <c r="D28">
        <v>145</v>
      </c>
      <c r="E28" s="1">
        <v>495.21</v>
      </c>
      <c r="F28" s="1">
        <v>1423.24</v>
      </c>
      <c r="G28" s="1">
        <v>619.41999999999996</v>
      </c>
      <c r="H28" s="1">
        <v>614.4</v>
      </c>
      <c r="I28" s="1">
        <v>128.94999999999999</v>
      </c>
      <c r="J28" s="1">
        <v>2922.12</v>
      </c>
      <c r="K28" s="1">
        <v>130.88999999999999</v>
      </c>
      <c r="L28">
        <v>429</v>
      </c>
      <c r="M28" s="1">
        <v>135.38999999999999</v>
      </c>
      <c r="N28" s="1">
        <v>3064.4</v>
      </c>
      <c r="O28">
        <v>0</v>
      </c>
      <c r="P28" s="1">
        <v>0</v>
      </c>
      <c r="Q28">
        <v>9</v>
      </c>
      <c r="R28" s="1">
        <v>2.2599999999999998</v>
      </c>
      <c r="S28">
        <v>26</v>
      </c>
      <c r="T28" s="1">
        <v>56.84</v>
      </c>
      <c r="U28" s="1">
        <v>87.68</v>
      </c>
      <c r="V28">
        <v>0</v>
      </c>
      <c r="W28" s="1">
        <v>0</v>
      </c>
      <c r="X28">
        <v>5</v>
      </c>
      <c r="Y28" s="1">
        <v>0</v>
      </c>
      <c r="Z28">
        <v>88</v>
      </c>
      <c r="AA28" s="1">
        <v>227.28</v>
      </c>
      <c r="AB28">
        <v>16</v>
      </c>
      <c r="AC28" s="1">
        <v>59.28</v>
      </c>
      <c r="AD28">
        <v>2</v>
      </c>
      <c r="AE28" s="1">
        <v>4.12</v>
      </c>
      <c r="AF28" s="1">
        <v>0</v>
      </c>
      <c r="AG28" s="1">
        <v>0</v>
      </c>
      <c r="AH28" s="1">
        <v>0</v>
      </c>
      <c r="AI28" s="1">
        <v>0</v>
      </c>
      <c r="AJ28" s="1">
        <v>183.19</v>
      </c>
      <c r="AL28" s="1">
        <v>3053.01</v>
      </c>
      <c r="AM28" s="1">
        <v>0</v>
      </c>
      <c r="AN28" s="1">
        <v>393</v>
      </c>
      <c r="AO28" s="1">
        <v>0</v>
      </c>
      <c r="AP28" s="1">
        <v>4.87</v>
      </c>
      <c r="AQ28">
        <v>46</v>
      </c>
      <c r="AR28" s="1">
        <v>360.18</v>
      </c>
      <c r="AS28">
        <v>178</v>
      </c>
      <c r="AT28" s="1">
        <v>1405.35</v>
      </c>
      <c r="AU28">
        <v>15</v>
      </c>
      <c r="AV28" s="1">
        <v>153.22999999999999</v>
      </c>
      <c r="AW28">
        <v>3</v>
      </c>
      <c r="AX28" s="1">
        <v>31.05</v>
      </c>
      <c r="AY28">
        <v>77</v>
      </c>
      <c r="AZ28" s="1">
        <v>561.17999999999995</v>
      </c>
      <c r="BA28">
        <v>2</v>
      </c>
      <c r="BB28" s="1">
        <v>13.71</v>
      </c>
      <c r="BC28">
        <v>1</v>
      </c>
      <c r="BD28" s="1">
        <v>9.51</v>
      </c>
      <c r="BE28">
        <v>16</v>
      </c>
      <c r="BF28" s="1">
        <v>133.66999999999999</v>
      </c>
      <c r="BG28">
        <v>3</v>
      </c>
      <c r="BH28" s="1">
        <v>28.39</v>
      </c>
      <c r="BK28">
        <v>11</v>
      </c>
      <c r="BL28" s="1">
        <v>87.29</v>
      </c>
      <c r="BZ28">
        <v>1</v>
      </c>
      <c r="CA28">
        <v>6</v>
      </c>
      <c r="CB28" s="1">
        <v>64.510000000000005</v>
      </c>
      <c r="CG28">
        <v>27</v>
      </c>
      <c r="CH28">
        <v>27</v>
      </c>
    </row>
    <row r="29" spans="1:86" x14ac:dyDescent="0.35">
      <c r="A29">
        <v>355439</v>
      </c>
      <c r="B29" s="2">
        <v>44198</v>
      </c>
      <c r="C29" s="2">
        <v>44198</v>
      </c>
      <c r="D29">
        <v>141</v>
      </c>
      <c r="E29" s="1">
        <v>458.49</v>
      </c>
      <c r="F29" s="1">
        <v>1361.47</v>
      </c>
      <c r="G29" s="1">
        <v>663.99</v>
      </c>
      <c r="H29" s="1">
        <v>557.29</v>
      </c>
      <c r="I29" s="1">
        <v>64.94</v>
      </c>
      <c r="J29" s="1">
        <v>2832.47</v>
      </c>
      <c r="K29" s="1">
        <v>0</v>
      </c>
      <c r="L29">
        <v>479</v>
      </c>
      <c r="M29" s="1">
        <v>0</v>
      </c>
      <c r="N29" s="1">
        <v>2906.18</v>
      </c>
      <c r="O29">
        <v>0</v>
      </c>
      <c r="P29" s="1">
        <v>0</v>
      </c>
      <c r="Q29">
        <v>8</v>
      </c>
      <c r="R29" s="1">
        <v>1.84</v>
      </c>
      <c r="S29">
        <v>19</v>
      </c>
      <c r="T29" s="1">
        <v>46.99</v>
      </c>
      <c r="U29" s="1">
        <v>24.88</v>
      </c>
      <c r="V29">
        <v>1</v>
      </c>
      <c r="W29" s="1">
        <v>25</v>
      </c>
      <c r="X29">
        <v>11</v>
      </c>
      <c r="Y29" s="1">
        <v>0</v>
      </c>
      <c r="Z29">
        <v>105</v>
      </c>
      <c r="AA29" s="1">
        <v>275.51</v>
      </c>
      <c r="AB29">
        <v>17</v>
      </c>
      <c r="AC29" s="1">
        <v>46.74</v>
      </c>
      <c r="AD29">
        <v>5</v>
      </c>
      <c r="AE29" s="1">
        <v>6.67</v>
      </c>
      <c r="AF29" s="1">
        <v>0</v>
      </c>
      <c r="AG29" s="1">
        <v>0</v>
      </c>
      <c r="AH29" s="1">
        <v>0</v>
      </c>
      <c r="AI29" s="1">
        <v>0</v>
      </c>
      <c r="AJ29" s="1">
        <v>226.76</v>
      </c>
      <c r="AL29" s="1">
        <v>2832.47</v>
      </c>
      <c r="AM29" s="1">
        <v>0</v>
      </c>
      <c r="AN29" s="1">
        <v>476</v>
      </c>
      <c r="AO29" s="1">
        <v>0</v>
      </c>
      <c r="AP29" s="1">
        <v>4.16</v>
      </c>
      <c r="AQ29">
        <v>58</v>
      </c>
      <c r="AR29" s="1">
        <v>357.86</v>
      </c>
      <c r="AS29">
        <v>216</v>
      </c>
      <c r="AT29" s="1">
        <v>1484.68</v>
      </c>
      <c r="AU29">
        <v>23</v>
      </c>
      <c r="AV29" s="1">
        <v>209.08</v>
      </c>
      <c r="AW29">
        <v>4</v>
      </c>
      <c r="AX29" s="1">
        <v>33.770000000000003</v>
      </c>
      <c r="AY29">
        <v>57</v>
      </c>
      <c r="AZ29" s="1">
        <v>296.08999999999997</v>
      </c>
      <c r="BA29">
        <v>2</v>
      </c>
      <c r="BB29" s="1">
        <v>11.53</v>
      </c>
      <c r="BC29">
        <v>1</v>
      </c>
      <c r="BD29" s="1">
        <v>2.8</v>
      </c>
      <c r="BE29">
        <v>9</v>
      </c>
      <c r="BF29" s="1">
        <v>62.1</v>
      </c>
      <c r="BG29">
        <v>4</v>
      </c>
      <c r="BH29" s="1">
        <v>26.42</v>
      </c>
      <c r="BK29">
        <v>6</v>
      </c>
      <c r="BL29" s="1">
        <v>41.57</v>
      </c>
      <c r="BZ29">
        <v>1</v>
      </c>
      <c r="CA29">
        <v>7</v>
      </c>
      <c r="CB29" s="1">
        <v>86.49</v>
      </c>
      <c r="CG29">
        <v>28</v>
      </c>
      <c r="CH29">
        <v>28</v>
      </c>
    </row>
    <row r="30" spans="1:86" x14ac:dyDescent="0.35">
      <c r="A30">
        <v>359606</v>
      </c>
      <c r="B30" s="2">
        <v>44198</v>
      </c>
      <c r="C30" s="2">
        <v>44198</v>
      </c>
      <c r="D30">
        <v>60</v>
      </c>
      <c r="E30">
        <v>214.2</v>
      </c>
      <c r="F30">
        <v>693.8599999999999</v>
      </c>
      <c r="G30">
        <v>196.7</v>
      </c>
      <c r="H30">
        <v>372.81</v>
      </c>
      <c r="I30">
        <v>43.910000000000004</v>
      </c>
      <c r="J30">
        <v>1310.6499999999999</v>
      </c>
      <c r="K30">
        <v>46.1</v>
      </c>
      <c r="L30">
        <v>233</v>
      </c>
      <c r="M30">
        <v>47.09</v>
      </c>
      <c r="N30">
        <v>1393.3899999999999</v>
      </c>
      <c r="O30">
        <v>0</v>
      </c>
      <c r="P30">
        <v>0</v>
      </c>
      <c r="R30">
        <v>83.73</v>
      </c>
      <c r="V30">
        <v>0</v>
      </c>
      <c r="W30">
        <v>0</v>
      </c>
      <c r="X30">
        <v>0</v>
      </c>
      <c r="Y30">
        <v>0</v>
      </c>
      <c r="Z30">
        <v>27</v>
      </c>
      <c r="AA30">
        <v>69.5</v>
      </c>
      <c r="AB30">
        <v>5</v>
      </c>
      <c r="AC30">
        <v>42.26</v>
      </c>
      <c r="AD30">
        <v>0</v>
      </c>
      <c r="AE30">
        <v>0</v>
      </c>
      <c r="AH30">
        <v>0</v>
      </c>
      <c r="AJ30">
        <v>120.76</v>
      </c>
      <c r="AN30">
        <v>238</v>
      </c>
      <c r="AO30">
        <v>0</v>
      </c>
      <c r="AP30">
        <v>-0.93999999999999773</v>
      </c>
      <c r="AQ30">
        <v>23</v>
      </c>
      <c r="AR30">
        <v>138.06</v>
      </c>
      <c r="AS30">
        <v>99</v>
      </c>
      <c r="AT30">
        <v>629.94000000000005</v>
      </c>
      <c r="AU30">
        <v>27</v>
      </c>
      <c r="AV30">
        <v>203.45</v>
      </c>
      <c r="AW30">
        <v>9</v>
      </c>
      <c r="AX30">
        <v>67.430000000000007</v>
      </c>
      <c r="AY30">
        <v>31</v>
      </c>
      <c r="AZ30">
        <v>163.22</v>
      </c>
      <c r="BS30">
        <v>1356.75</v>
      </c>
      <c r="BV30">
        <v>41.279999999999973</v>
      </c>
      <c r="BW30">
        <v>41.28</v>
      </c>
      <c r="BZ30">
        <v>1</v>
      </c>
      <c r="CA30">
        <v>3</v>
      </c>
      <c r="CB30">
        <v>36.47</v>
      </c>
      <c r="CG30">
        <v>29</v>
      </c>
      <c r="CH30">
        <v>29</v>
      </c>
    </row>
    <row r="31" spans="1:86" x14ac:dyDescent="0.35">
      <c r="A31">
        <v>358682</v>
      </c>
      <c r="B31" s="2">
        <v>44198</v>
      </c>
      <c r="C31" s="2">
        <v>44198</v>
      </c>
      <c r="D31">
        <v>67</v>
      </c>
      <c r="E31">
        <v>228.63</v>
      </c>
      <c r="F31">
        <v>705.57999999999981</v>
      </c>
      <c r="G31">
        <v>93.66</v>
      </c>
      <c r="H31">
        <v>471.95</v>
      </c>
      <c r="I31">
        <v>46.410000000000004</v>
      </c>
      <c r="J31">
        <v>1305.1699999999998</v>
      </c>
      <c r="K31">
        <v>107.75999999999999</v>
      </c>
      <c r="L31">
        <v>236</v>
      </c>
      <c r="M31">
        <v>110.94999999999999</v>
      </c>
      <c r="N31">
        <v>1399.07</v>
      </c>
      <c r="O31">
        <v>2</v>
      </c>
      <c r="P31">
        <v>5.18</v>
      </c>
      <c r="R31">
        <v>97.09</v>
      </c>
      <c r="V31">
        <v>0</v>
      </c>
      <c r="W31">
        <v>0</v>
      </c>
      <c r="X31">
        <v>0</v>
      </c>
      <c r="Y31">
        <v>0</v>
      </c>
      <c r="Z31">
        <v>37</v>
      </c>
      <c r="AA31">
        <v>88.89</v>
      </c>
      <c r="AB31">
        <v>5</v>
      </c>
      <c r="AC31">
        <v>32.24</v>
      </c>
      <c r="AD31">
        <v>9</v>
      </c>
      <c r="AE31">
        <v>20.9</v>
      </c>
      <c r="AH31">
        <v>0</v>
      </c>
      <c r="AJ31">
        <v>124.89</v>
      </c>
      <c r="AN31">
        <v>230.91</v>
      </c>
      <c r="AO31">
        <v>0</v>
      </c>
      <c r="AP31">
        <v>5.3199999999999932</v>
      </c>
      <c r="AQ31">
        <v>31</v>
      </c>
      <c r="AR31">
        <v>240.24</v>
      </c>
      <c r="AS31">
        <v>101</v>
      </c>
      <c r="AT31">
        <v>679.43</v>
      </c>
      <c r="AU31">
        <v>19</v>
      </c>
      <c r="AV31">
        <v>97.77</v>
      </c>
      <c r="AW31">
        <v>3</v>
      </c>
      <c r="AX31">
        <v>29.54</v>
      </c>
      <c r="AY31">
        <v>31</v>
      </c>
      <c r="AZ31">
        <v>137.88999999999999</v>
      </c>
      <c r="BM31">
        <v>3</v>
      </c>
      <c r="BN31">
        <v>27.35</v>
      </c>
      <c r="BP31">
        <v>9</v>
      </c>
      <c r="BQ31">
        <v>109.97</v>
      </c>
      <c r="BR31">
        <v>100.97</v>
      </c>
      <c r="BS31">
        <v>1422.08</v>
      </c>
      <c r="BV31">
        <v>0</v>
      </c>
      <c r="BW31">
        <v>9.9600000000000009</v>
      </c>
      <c r="BZ31">
        <v>1</v>
      </c>
      <c r="CG31">
        <v>30</v>
      </c>
      <c r="CH31">
        <v>30</v>
      </c>
    </row>
    <row r="32" spans="1:86" x14ac:dyDescent="0.35">
      <c r="A32">
        <v>357150</v>
      </c>
      <c r="B32" s="2">
        <v>44198</v>
      </c>
      <c r="C32" s="2">
        <v>44198</v>
      </c>
      <c r="D32">
        <v>168</v>
      </c>
      <c r="E32">
        <v>641.81999999999994</v>
      </c>
      <c r="F32">
        <v>1717.56</v>
      </c>
      <c r="G32">
        <v>486.27</v>
      </c>
      <c r="H32">
        <v>473.05</v>
      </c>
      <c r="I32">
        <v>69.930000000000007</v>
      </c>
      <c r="J32">
        <v>2877.33</v>
      </c>
      <c r="K32">
        <v>234.52</v>
      </c>
      <c r="L32">
        <v>454</v>
      </c>
      <c r="M32">
        <v>239.89000000000001</v>
      </c>
      <c r="N32">
        <v>2982.1</v>
      </c>
      <c r="O32">
        <v>0</v>
      </c>
      <c r="P32">
        <v>0</v>
      </c>
      <c r="R32">
        <v>110.14000000000001</v>
      </c>
      <c r="V32">
        <v>0</v>
      </c>
      <c r="W32">
        <v>0</v>
      </c>
      <c r="X32">
        <v>0</v>
      </c>
      <c r="Y32">
        <v>0</v>
      </c>
      <c r="Z32">
        <v>69</v>
      </c>
      <c r="AA32">
        <v>132.31</v>
      </c>
      <c r="AB32">
        <v>13</v>
      </c>
      <c r="AC32">
        <v>99.91</v>
      </c>
      <c r="AD32">
        <v>29</v>
      </c>
      <c r="AE32">
        <v>34.06</v>
      </c>
      <c r="AH32">
        <v>0</v>
      </c>
      <c r="AJ32">
        <v>249.05</v>
      </c>
      <c r="AN32">
        <v>952</v>
      </c>
      <c r="AO32">
        <v>0</v>
      </c>
      <c r="AP32">
        <v>3.8500000000000227</v>
      </c>
      <c r="AQ32">
        <v>62</v>
      </c>
      <c r="AR32">
        <v>535.23</v>
      </c>
      <c r="AS32">
        <v>166</v>
      </c>
      <c r="AT32">
        <v>1316.4</v>
      </c>
      <c r="AU32">
        <v>11</v>
      </c>
      <c r="AV32">
        <v>102.92</v>
      </c>
      <c r="AW32">
        <v>9</v>
      </c>
      <c r="AX32">
        <v>65</v>
      </c>
      <c r="AY32">
        <v>60</v>
      </c>
      <c r="AZ32">
        <v>393.2</v>
      </c>
      <c r="BS32">
        <v>3111.85</v>
      </c>
      <c r="BV32">
        <v>10.9699999999998</v>
      </c>
      <c r="BW32">
        <v>10.97</v>
      </c>
      <c r="BZ32">
        <v>1</v>
      </c>
      <c r="CG32">
        <v>31</v>
      </c>
      <c r="CH32">
        <v>31</v>
      </c>
    </row>
    <row r="33" spans="1:86" x14ac:dyDescent="0.35">
      <c r="A33">
        <v>350432</v>
      </c>
      <c r="B33" s="2">
        <v>44199</v>
      </c>
      <c r="C33" s="2">
        <v>44199</v>
      </c>
      <c r="D33">
        <v>158</v>
      </c>
      <c r="E33" s="1">
        <v>498.27</v>
      </c>
      <c r="F33" s="1">
        <v>1843.2</v>
      </c>
      <c r="G33" s="1">
        <v>529.95000000000005</v>
      </c>
      <c r="H33" s="1">
        <v>1007.79</v>
      </c>
      <c r="I33" s="1">
        <v>148.05000000000001</v>
      </c>
      <c r="J33" s="1">
        <v>3753.4</v>
      </c>
      <c r="K33" s="1">
        <v>636.02</v>
      </c>
      <c r="L33">
        <v>667</v>
      </c>
      <c r="M33" s="1">
        <v>648.16999999999996</v>
      </c>
      <c r="N33" s="1">
        <v>3905.27</v>
      </c>
      <c r="O33">
        <v>1</v>
      </c>
      <c r="P33" s="1">
        <v>6.63</v>
      </c>
      <c r="Q33">
        <v>8</v>
      </c>
      <c r="R33" s="1">
        <v>2.19</v>
      </c>
      <c r="S33">
        <v>24</v>
      </c>
      <c r="T33" s="1">
        <v>58.05</v>
      </c>
      <c r="U33" s="1">
        <v>97.15</v>
      </c>
      <c r="V33">
        <v>2</v>
      </c>
      <c r="W33" s="1">
        <v>40</v>
      </c>
      <c r="X33">
        <v>16</v>
      </c>
      <c r="Y33" s="1">
        <v>0</v>
      </c>
      <c r="Z33">
        <v>151</v>
      </c>
      <c r="AA33" s="1">
        <v>424.3</v>
      </c>
      <c r="AB33">
        <v>19</v>
      </c>
      <c r="AC33" s="1">
        <v>72.77</v>
      </c>
      <c r="AD33">
        <v>7</v>
      </c>
      <c r="AE33" s="1">
        <v>48.17</v>
      </c>
      <c r="AF33" s="1">
        <v>0</v>
      </c>
      <c r="AG33" s="1">
        <v>0</v>
      </c>
      <c r="AH33" s="1">
        <v>0</v>
      </c>
      <c r="AI33" s="1">
        <v>0</v>
      </c>
      <c r="AJ33" s="1">
        <v>390.44</v>
      </c>
      <c r="AL33" s="1">
        <v>4389.42</v>
      </c>
      <c r="AM33" s="1">
        <v>0</v>
      </c>
      <c r="AN33" s="1">
        <v>749</v>
      </c>
      <c r="AO33" s="1">
        <v>24.86</v>
      </c>
      <c r="AP33" s="1">
        <v>1.51</v>
      </c>
      <c r="AQ33">
        <v>83</v>
      </c>
      <c r="AR33" s="1">
        <v>811.15</v>
      </c>
      <c r="AS33">
        <v>295</v>
      </c>
      <c r="AT33" s="1">
        <v>2191.6999999999998</v>
      </c>
      <c r="AU33">
        <v>39</v>
      </c>
      <c r="AV33" s="1">
        <v>332.23</v>
      </c>
      <c r="AW33">
        <v>8</v>
      </c>
      <c r="AX33" s="1">
        <v>55.97</v>
      </c>
      <c r="AY33">
        <v>58</v>
      </c>
      <c r="AZ33" s="1">
        <v>306.39</v>
      </c>
      <c r="BE33">
        <v>8</v>
      </c>
      <c r="BF33" s="1">
        <v>36.46</v>
      </c>
      <c r="BG33">
        <v>4</v>
      </c>
      <c r="BH33" s="1">
        <v>27.14</v>
      </c>
      <c r="BI33">
        <v>1</v>
      </c>
      <c r="BJ33" s="1">
        <v>2.1800000000000002</v>
      </c>
      <c r="BK33">
        <v>5</v>
      </c>
      <c r="BL33" s="1">
        <v>17.53</v>
      </c>
      <c r="BM33">
        <v>1</v>
      </c>
      <c r="BN33" s="1">
        <v>4.01</v>
      </c>
      <c r="BO33" s="1">
        <v>3.68</v>
      </c>
      <c r="BP33">
        <v>13</v>
      </c>
      <c r="BQ33" s="1">
        <v>180.57</v>
      </c>
      <c r="BR33" s="1">
        <v>165.82</v>
      </c>
      <c r="BZ33">
        <v>1</v>
      </c>
      <c r="CA33">
        <v>8</v>
      </c>
      <c r="CB33" s="1">
        <v>82.18</v>
      </c>
      <c r="CG33">
        <v>32</v>
      </c>
      <c r="CH33">
        <v>32</v>
      </c>
    </row>
    <row r="34" spans="1:86" x14ac:dyDescent="0.35">
      <c r="A34">
        <v>350437</v>
      </c>
      <c r="B34" s="2">
        <v>44199</v>
      </c>
      <c r="C34" s="2">
        <v>44199</v>
      </c>
      <c r="D34">
        <v>81</v>
      </c>
      <c r="E34" s="1">
        <v>278.01</v>
      </c>
      <c r="F34" s="1">
        <v>912.22</v>
      </c>
      <c r="G34" s="1">
        <v>415.96</v>
      </c>
      <c r="H34" s="1">
        <v>487.39</v>
      </c>
      <c r="I34" s="1">
        <v>77.89</v>
      </c>
      <c r="J34" s="1">
        <v>2029.31</v>
      </c>
      <c r="K34" s="1">
        <v>0</v>
      </c>
      <c r="L34">
        <v>314</v>
      </c>
      <c r="M34" s="1">
        <v>0</v>
      </c>
      <c r="N34" s="1">
        <v>2089.19</v>
      </c>
      <c r="O34">
        <v>1</v>
      </c>
      <c r="P34" s="1">
        <v>4.29</v>
      </c>
      <c r="Q34">
        <v>3</v>
      </c>
      <c r="R34" s="1">
        <v>3.27</v>
      </c>
      <c r="S34">
        <v>7</v>
      </c>
      <c r="T34" s="1">
        <v>18.760000000000002</v>
      </c>
      <c r="U34" s="1">
        <v>33.56</v>
      </c>
      <c r="V34">
        <v>0</v>
      </c>
      <c r="W34" s="1">
        <v>0</v>
      </c>
      <c r="X34">
        <v>9</v>
      </c>
      <c r="Y34" s="1">
        <v>0</v>
      </c>
      <c r="Z34">
        <v>59</v>
      </c>
      <c r="AA34" s="1">
        <v>179.9</v>
      </c>
      <c r="AB34">
        <v>2</v>
      </c>
      <c r="AC34" s="1">
        <v>6.78</v>
      </c>
      <c r="AD34">
        <v>1</v>
      </c>
      <c r="AE34" s="1">
        <v>7.17</v>
      </c>
      <c r="AF34" s="1">
        <v>0</v>
      </c>
      <c r="AG34" s="1">
        <v>0</v>
      </c>
      <c r="AH34" s="1">
        <v>0</v>
      </c>
      <c r="AI34" s="1">
        <v>0</v>
      </c>
      <c r="AJ34" s="1">
        <v>180.56</v>
      </c>
      <c r="AL34" s="1">
        <v>2029.31</v>
      </c>
      <c r="AM34" s="1">
        <v>0</v>
      </c>
      <c r="AN34" s="1">
        <v>381</v>
      </c>
      <c r="AO34" s="1">
        <v>0</v>
      </c>
      <c r="AP34" s="1">
        <v>4.47</v>
      </c>
      <c r="AQ34">
        <v>41</v>
      </c>
      <c r="AR34" s="1">
        <v>323.24</v>
      </c>
      <c r="AS34">
        <v>117</v>
      </c>
      <c r="AT34" s="1">
        <v>840.62</v>
      </c>
      <c r="AU34">
        <v>31</v>
      </c>
      <c r="AV34" s="1">
        <v>250.73</v>
      </c>
      <c r="AW34">
        <v>7</v>
      </c>
      <c r="AX34" s="1">
        <v>55.65</v>
      </c>
      <c r="AY34">
        <v>33</v>
      </c>
      <c r="AZ34" s="1">
        <v>151.61000000000001</v>
      </c>
      <c r="BC34">
        <v>1</v>
      </c>
      <c r="BD34" s="1">
        <v>3.91</v>
      </c>
      <c r="BE34">
        <v>9</v>
      </c>
      <c r="BF34" s="1">
        <v>33.979999999999997</v>
      </c>
      <c r="BG34">
        <v>1</v>
      </c>
      <c r="BH34" s="1">
        <v>7.48</v>
      </c>
      <c r="BK34">
        <v>3</v>
      </c>
      <c r="BL34" s="1">
        <v>26.1</v>
      </c>
      <c r="BP34">
        <v>11</v>
      </c>
      <c r="BQ34" s="1">
        <v>131.97999999999999</v>
      </c>
      <c r="BR34" s="1">
        <v>121.19</v>
      </c>
      <c r="BZ34">
        <v>1</v>
      </c>
      <c r="CA34">
        <v>1</v>
      </c>
      <c r="CB34" s="1">
        <v>8.0399999999999991</v>
      </c>
      <c r="CG34">
        <v>33</v>
      </c>
      <c r="CH34">
        <v>33</v>
      </c>
    </row>
    <row r="35" spans="1:86" x14ac:dyDescent="0.35">
      <c r="A35">
        <v>351323</v>
      </c>
      <c r="B35" s="2">
        <v>44199</v>
      </c>
      <c r="C35" s="2">
        <v>44199</v>
      </c>
      <c r="D35">
        <v>109</v>
      </c>
      <c r="E35" s="1">
        <v>379.85</v>
      </c>
      <c r="F35" s="1">
        <v>1454.6</v>
      </c>
      <c r="G35" s="1">
        <v>549.80999999999995</v>
      </c>
      <c r="H35" s="1">
        <v>574.99</v>
      </c>
      <c r="I35" s="1">
        <v>87.69</v>
      </c>
      <c r="J35" s="1">
        <v>2799.52</v>
      </c>
      <c r="K35" s="1">
        <v>306.58</v>
      </c>
      <c r="L35">
        <v>493</v>
      </c>
      <c r="M35" s="1">
        <v>310.95999999999998</v>
      </c>
      <c r="N35" s="1">
        <v>2908.96</v>
      </c>
      <c r="O35">
        <v>0</v>
      </c>
      <c r="P35" s="1">
        <v>0</v>
      </c>
      <c r="Q35">
        <v>5</v>
      </c>
      <c r="R35" s="1">
        <v>1</v>
      </c>
      <c r="S35">
        <v>29</v>
      </c>
      <c r="T35" s="1">
        <v>51.26</v>
      </c>
      <c r="U35" s="1">
        <v>61.56</v>
      </c>
      <c r="V35">
        <v>0</v>
      </c>
      <c r="W35" s="1">
        <v>0</v>
      </c>
      <c r="X35">
        <v>19</v>
      </c>
      <c r="Y35" s="1">
        <v>0</v>
      </c>
      <c r="Z35">
        <v>125</v>
      </c>
      <c r="AA35" s="1">
        <v>377.46</v>
      </c>
      <c r="AB35">
        <v>14</v>
      </c>
      <c r="AC35" s="1">
        <v>47.97</v>
      </c>
      <c r="AD35">
        <v>3</v>
      </c>
      <c r="AE35" s="1">
        <v>0</v>
      </c>
      <c r="AF35" s="1">
        <v>0</v>
      </c>
      <c r="AG35" s="1">
        <v>0</v>
      </c>
      <c r="AH35" s="1">
        <v>0</v>
      </c>
      <c r="AI35" s="1">
        <v>0</v>
      </c>
      <c r="AJ35" s="1">
        <v>186.19</v>
      </c>
      <c r="AL35" s="1">
        <v>3106.1</v>
      </c>
      <c r="AM35" s="1">
        <v>0</v>
      </c>
      <c r="AN35" s="1">
        <v>831</v>
      </c>
      <c r="AO35" s="1">
        <v>0</v>
      </c>
      <c r="AP35" s="1">
        <v>2.95</v>
      </c>
      <c r="AQ35">
        <v>74</v>
      </c>
      <c r="AR35" s="1">
        <v>503.84</v>
      </c>
      <c r="AS35">
        <v>198</v>
      </c>
      <c r="AT35" s="1">
        <v>1430.07</v>
      </c>
      <c r="AU35">
        <v>14</v>
      </c>
      <c r="AV35" s="1">
        <v>152.1</v>
      </c>
      <c r="AW35">
        <v>8</v>
      </c>
      <c r="AX35" s="1">
        <v>65.61</v>
      </c>
      <c r="AY35">
        <v>39</v>
      </c>
      <c r="AZ35" s="1">
        <v>203.16</v>
      </c>
      <c r="BE35">
        <v>6</v>
      </c>
      <c r="BF35" s="1">
        <v>41.57</v>
      </c>
      <c r="BG35">
        <v>2</v>
      </c>
      <c r="BH35" s="1">
        <v>3.58</v>
      </c>
      <c r="BK35">
        <v>5</v>
      </c>
      <c r="BL35" s="1">
        <v>16.940000000000001</v>
      </c>
      <c r="BP35">
        <v>4</v>
      </c>
      <c r="BQ35" s="1">
        <v>38.51</v>
      </c>
      <c r="BR35" s="1">
        <v>36.33</v>
      </c>
      <c r="BZ35">
        <v>1</v>
      </c>
      <c r="CA35">
        <v>1</v>
      </c>
      <c r="CB35" s="1">
        <v>8.86</v>
      </c>
      <c r="CG35">
        <v>34</v>
      </c>
      <c r="CH35">
        <v>34</v>
      </c>
    </row>
    <row r="36" spans="1:86" x14ac:dyDescent="0.35">
      <c r="A36">
        <v>352613</v>
      </c>
      <c r="B36" s="2">
        <v>44199</v>
      </c>
      <c r="C36" s="2">
        <v>44199</v>
      </c>
      <c r="D36">
        <v>106</v>
      </c>
      <c r="E36" s="1">
        <v>325.91000000000003</v>
      </c>
      <c r="F36" s="1">
        <v>1314.88</v>
      </c>
      <c r="G36" s="1">
        <v>637.25</v>
      </c>
      <c r="H36" s="1">
        <v>573.33000000000004</v>
      </c>
      <c r="I36" s="1">
        <v>91.37</v>
      </c>
      <c r="J36" s="1">
        <v>2753.88</v>
      </c>
      <c r="K36" s="1">
        <v>384.64</v>
      </c>
      <c r="L36">
        <v>481</v>
      </c>
      <c r="M36" s="1">
        <v>395.59</v>
      </c>
      <c r="N36" s="1">
        <v>2858.08</v>
      </c>
      <c r="O36">
        <v>1</v>
      </c>
      <c r="P36" s="1">
        <v>10.46</v>
      </c>
      <c r="Q36">
        <v>11</v>
      </c>
      <c r="R36" s="1">
        <v>5.01</v>
      </c>
      <c r="S36">
        <v>28</v>
      </c>
      <c r="T36" s="1">
        <v>49.91</v>
      </c>
      <c r="U36" s="1">
        <v>49.77</v>
      </c>
      <c r="V36">
        <v>0</v>
      </c>
      <c r="W36" s="1">
        <v>0</v>
      </c>
      <c r="X36">
        <v>19</v>
      </c>
      <c r="Y36" s="1">
        <v>0</v>
      </c>
      <c r="Z36">
        <v>64</v>
      </c>
      <c r="AA36" s="1">
        <v>184.45</v>
      </c>
      <c r="AB36">
        <v>10</v>
      </c>
      <c r="AC36" s="1">
        <v>26.41</v>
      </c>
      <c r="AD36">
        <v>0</v>
      </c>
      <c r="AE36" s="1">
        <v>0</v>
      </c>
      <c r="AF36" s="1">
        <v>0</v>
      </c>
      <c r="AG36" s="1">
        <v>0</v>
      </c>
      <c r="AH36" s="1">
        <v>0</v>
      </c>
      <c r="AI36" s="1">
        <v>0</v>
      </c>
      <c r="AJ36" s="1">
        <v>251.21</v>
      </c>
      <c r="AL36" s="1">
        <v>3138.52</v>
      </c>
      <c r="AM36" s="1">
        <v>0</v>
      </c>
      <c r="AN36" s="1">
        <v>640</v>
      </c>
      <c r="AO36" s="1">
        <v>0</v>
      </c>
      <c r="AP36" s="1">
        <v>-354.3</v>
      </c>
      <c r="AQ36">
        <v>62</v>
      </c>
      <c r="AR36" s="1">
        <v>458.4</v>
      </c>
      <c r="AS36">
        <v>178</v>
      </c>
      <c r="AT36" s="1">
        <v>1269.17</v>
      </c>
      <c r="AU36">
        <v>13</v>
      </c>
      <c r="AV36" s="1">
        <v>94.95</v>
      </c>
      <c r="AW36">
        <v>4</v>
      </c>
      <c r="AX36" s="1">
        <v>25.84</v>
      </c>
      <c r="AY36">
        <v>42</v>
      </c>
      <c r="AZ36" s="1">
        <v>254.86</v>
      </c>
      <c r="BA36">
        <v>1</v>
      </c>
      <c r="BB36" s="1">
        <v>4.95</v>
      </c>
      <c r="BC36">
        <v>1</v>
      </c>
      <c r="BD36" s="1">
        <v>2.16</v>
      </c>
      <c r="BE36">
        <v>5</v>
      </c>
      <c r="BF36" s="1">
        <v>31.32</v>
      </c>
      <c r="BG36">
        <v>3</v>
      </c>
      <c r="BH36" s="1">
        <v>17.38</v>
      </c>
      <c r="BK36">
        <v>6</v>
      </c>
      <c r="BL36" s="1">
        <v>32.9</v>
      </c>
      <c r="BP36">
        <v>5</v>
      </c>
      <c r="BQ36" s="1">
        <v>74.28</v>
      </c>
      <c r="BR36" s="1">
        <v>68.78</v>
      </c>
      <c r="BZ36">
        <v>1</v>
      </c>
      <c r="CA36">
        <v>9</v>
      </c>
      <c r="CB36" s="1">
        <v>129.22</v>
      </c>
      <c r="CG36">
        <v>35</v>
      </c>
      <c r="CH36">
        <v>35</v>
      </c>
    </row>
    <row r="37" spans="1:86" x14ac:dyDescent="0.35">
      <c r="A37">
        <v>353927</v>
      </c>
      <c r="B37" s="2">
        <v>44199</v>
      </c>
      <c r="C37" s="2">
        <v>44199</v>
      </c>
      <c r="D37">
        <v>117</v>
      </c>
      <c r="E37" s="1">
        <v>408.26</v>
      </c>
      <c r="F37" s="1">
        <v>1323.59</v>
      </c>
      <c r="G37" s="1">
        <v>608.03</v>
      </c>
      <c r="H37" s="1">
        <v>734.23</v>
      </c>
      <c r="I37" s="1">
        <v>66.38</v>
      </c>
      <c r="J37" s="1">
        <v>2936.51</v>
      </c>
      <c r="K37" s="1">
        <v>0</v>
      </c>
      <c r="L37">
        <v>383</v>
      </c>
      <c r="M37" s="1">
        <v>0</v>
      </c>
      <c r="N37" s="1">
        <v>3040.74</v>
      </c>
      <c r="O37">
        <v>0</v>
      </c>
      <c r="P37" s="1">
        <v>0</v>
      </c>
      <c r="Q37">
        <v>1</v>
      </c>
      <c r="R37" s="1">
        <v>0.18</v>
      </c>
      <c r="S37">
        <v>30</v>
      </c>
      <c r="T37" s="1">
        <v>38.83</v>
      </c>
      <c r="U37" s="1">
        <v>65.22</v>
      </c>
      <c r="V37">
        <v>0</v>
      </c>
      <c r="W37" s="1">
        <v>0</v>
      </c>
      <c r="X37">
        <v>11</v>
      </c>
      <c r="Y37" s="1">
        <v>0</v>
      </c>
      <c r="Z37">
        <v>103</v>
      </c>
      <c r="AA37" s="1">
        <v>296.14</v>
      </c>
      <c r="AB37">
        <v>6</v>
      </c>
      <c r="AC37" s="1">
        <v>13.85</v>
      </c>
      <c r="AD37">
        <v>2</v>
      </c>
      <c r="AE37" s="1">
        <v>0</v>
      </c>
      <c r="AF37" s="1">
        <v>0</v>
      </c>
      <c r="AG37" s="1">
        <v>0</v>
      </c>
      <c r="AH37" s="1">
        <v>0</v>
      </c>
      <c r="AI37" s="1">
        <v>0</v>
      </c>
      <c r="AJ37" s="1">
        <v>176.12</v>
      </c>
      <c r="AL37" s="1">
        <v>2936.51</v>
      </c>
      <c r="AM37" s="1">
        <v>0</v>
      </c>
      <c r="AN37" s="1">
        <v>584</v>
      </c>
      <c r="AO37" s="1">
        <v>0</v>
      </c>
      <c r="AP37" s="1">
        <v>-5.18</v>
      </c>
      <c r="AQ37">
        <v>46</v>
      </c>
      <c r="AR37" s="1">
        <v>392.43</v>
      </c>
      <c r="AS37">
        <v>165</v>
      </c>
      <c r="AT37" s="1">
        <v>1560.43</v>
      </c>
      <c r="AU37">
        <v>4</v>
      </c>
      <c r="AV37" s="1">
        <v>42.68</v>
      </c>
      <c r="AW37">
        <v>2</v>
      </c>
      <c r="AX37" s="1">
        <v>23.05</v>
      </c>
      <c r="AY37">
        <v>48</v>
      </c>
      <c r="AZ37" s="1">
        <v>237.29</v>
      </c>
      <c r="BA37">
        <v>1</v>
      </c>
      <c r="BB37" s="1">
        <v>8.02</v>
      </c>
      <c r="BE37">
        <v>12</v>
      </c>
      <c r="BF37" s="1">
        <v>63.11</v>
      </c>
      <c r="BG37">
        <v>3</v>
      </c>
      <c r="BH37" s="1">
        <v>11.95</v>
      </c>
      <c r="BK37">
        <v>4</v>
      </c>
      <c r="BL37" s="1">
        <v>24.76</v>
      </c>
      <c r="BM37">
        <v>1</v>
      </c>
      <c r="BN37" s="1">
        <v>28.86</v>
      </c>
      <c r="BO37" s="1">
        <v>27.23</v>
      </c>
      <c r="BP37">
        <v>4</v>
      </c>
      <c r="BQ37" s="1">
        <v>50.66</v>
      </c>
      <c r="BR37" s="1">
        <v>47.79</v>
      </c>
      <c r="BZ37">
        <v>1</v>
      </c>
      <c r="CA37">
        <v>5</v>
      </c>
      <c r="CB37" s="1">
        <v>80.209999999999994</v>
      </c>
      <c r="CG37">
        <v>36</v>
      </c>
      <c r="CH37">
        <v>36</v>
      </c>
    </row>
    <row r="38" spans="1:86" x14ac:dyDescent="0.35">
      <c r="A38">
        <v>354030</v>
      </c>
      <c r="B38" s="2">
        <v>44199</v>
      </c>
      <c r="C38" s="2">
        <v>44199</v>
      </c>
      <c r="D38">
        <v>111</v>
      </c>
      <c r="E38" s="1">
        <v>389.32</v>
      </c>
      <c r="F38" s="1">
        <v>1299.72</v>
      </c>
      <c r="G38" s="1">
        <v>642.94000000000005</v>
      </c>
      <c r="H38" s="1">
        <v>464.55</v>
      </c>
      <c r="I38" s="1">
        <v>108.69</v>
      </c>
      <c r="J38" s="1">
        <v>2661.02</v>
      </c>
      <c r="K38" s="1">
        <v>138.81</v>
      </c>
      <c r="L38">
        <v>406</v>
      </c>
      <c r="M38" s="1">
        <v>143.19</v>
      </c>
      <c r="N38" s="1">
        <v>2782.71</v>
      </c>
      <c r="O38">
        <v>0</v>
      </c>
      <c r="P38" s="1">
        <v>0</v>
      </c>
      <c r="Q38">
        <v>1</v>
      </c>
      <c r="R38" s="1">
        <v>0.16</v>
      </c>
      <c r="S38">
        <v>17</v>
      </c>
      <c r="T38" s="1">
        <v>46.57</v>
      </c>
      <c r="U38" s="1">
        <v>79.34</v>
      </c>
      <c r="V38">
        <v>0</v>
      </c>
      <c r="W38" s="1">
        <v>0</v>
      </c>
      <c r="X38">
        <v>12</v>
      </c>
      <c r="Y38" s="1">
        <v>0</v>
      </c>
      <c r="Z38">
        <v>81</v>
      </c>
      <c r="AA38" s="1">
        <v>257.01</v>
      </c>
      <c r="AB38">
        <v>11</v>
      </c>
      <c r="AC38" s="1">
        <v>29</v>
      </c>
      <c r="AD38">
        <v>8</v>
      </c>
      <c r="AE38" s="1">
        <v>51.81</v>
      </c>
      <c r="AF38" s="1">
        <v>12</v>
      </c>
      <c r="AG38" s="1">
        <v>12</v>
      </c>
      <c r="AH38" s="1">
        <v>0</v>
      </c>
      <c r="AI38" s="1">
        <v>0</v>
      </c>
      <c r="AJ38" s="1">
        <v>167.97</v>
      </c>
      <c r="AL38" s="1">
        <v>2799.83</v>
      </c>
      <c r="AM38" s="1">
        <v>12</v>
      </c>
      <c r="AN38" s="1">
        <v>387</v>
      </c>
      <c r="AO38" s="1">
        <v>0</v>
      </c>
      <c r="AP38" s="1">
        <v>-9.17</v>
      </c>
      <c r="AQ38">
        <v>58</v>
      </c>
      <c r="AR38" s="1">
        <v>442.17</v>
      </c>
      <c r="AS38">
        <v>166</v>
      </c>
      <c r="AT38" s="1">
        <v>1390.43</v>
      </c>
      <c r="AU38">
        <v>9</v>
      </c>
      <c r="AV38" s="1">
        <v>99.1</v>
      </c>
      <c r="AW38">
        <v>6</v>
      </c>
      <c r="AX38" s="1">
        <v>62.42</v>
      </c>
      <c r="AY38">
        <v>68</v>
      </c>
      <c r="AZ38" s="1">
        <v>412.23</v>
      </c>
      <c r="BA38">
        <v>1</v>
      </c>
      <c r="BB38" s="1">
        <v>4.6500000000000004</v>
      </c>
      <c r="BC38">
        <v>2</v>
      </c>
      <c r="BD38" s="1">
        <v>11.63</v>
      </c>
      <c r="BE38">
        <v>9</v>
      </c>
      <c r="BF38" s="1">
        <v>61.78</v>
      </c>
      <c r="BG38">
        <v>3</v>
      </c>
      <c r="BH38" s="1">
        <v>22.4</v>
      </c>
      <c r="BK38">
        <v>4</v>
      </c>
      <c r="BL38" s="1">
        <v>40.659999999999997</v>
      </c>
      <c r="BZ38">
        <v>1</v>
      </c>
      <c r="CA38">
        <v>3</v>
      </c>
      <c r="CB38" s="1">
        <v>36.159999999999997</v>
      </c>
      <c r="CG38">
        <v>37</v>
      </c>
      <c r="CH38">
        <v>37</v>
      </c>
    </row>
    <row r="39" spans="1:86" x14ac:dyDescent="0.35">
      <c r="A39">
        <v>355439</v>
      </c>
      <c r="B39" s="2">
        <v>44199</v>
      </c>
      <c r="C39" s="2">
        <v>44199</v>
      </c>
      <c r="D39">
        <v>162</v>
      </c>
      <c r="E39" s="1">
        <v>528.49</v>
      </c>
      <c r="F39" s="1">
        <v>1576.93</v>
      </c>
      <c r="G39" s="1">
        <v>1082.69</v>
      </c>
      <c r="H39" s="1">
        <v>644.19000000000005</v>
      </c>
      <c r="I39" s="1">
        <v>103.87</v>
      </c>
      <c r="J39" s="1">
        <v>3638.74</v>
      </c>
      <c r="K39" s="1">
        <v>0</v>
      </c>
      <c r="L39">
        <v>521</v>
      </c>
      <c r="M39" s="1">
        <v>0</v>
      </c>
      <c r="N39" s="1">
        <v>4167.43</v>
      </c>
      <c r="O39">
        <v>1</v>
      </c>
      <c r="P39" s="1">
        <v>379.6</v>
      </c>
      <c r="Q39">
        <v>6</v>
      </c>
      <c r="R39" s="1">
        <v>7.32</v>
      </c>
      <c r="S39">
        <v>30</v>
      </c>
      <c r="T39" s="1">
        <v>71.400000000000006</v>
      </c>
      <c r="U39" s="1">
        <v>70.37</v>
      </c>
      <c r="V39">
        <v>1</v>
      </c>
      <c r="W39" s="1">
        <v>10</v>
      </c>
      <c r="X39">
        <v>16</v>
      </c>
      <c r="Y39" s="1">
        <v>0</v>
      </c>
      <c r="Z39">
        <v>150</v>
      </c>
      <c r="AA39" s="1">
        <v>771.25</v>
      </c>
      <c r="AB39">
        <v>18</v>
      </c>
      <c r="AC39" s="1">
        <v>42.39</v>
      </c>
      <c r="AD39">
        <v>1</v>
      </c>
      <c r="AE39" s="1">
        <v>0</v>
      </c>
      <c r="AF39" s="1">
        <v>1</v>
      </c>
      <c r="AG39" s="1">
        <v>1</v>
      </c>
      <c r="AH39" s="1">
        <v>0</v>
      </c>
      <c r="AI39" s="1">
        <v>0</v>
      </c>
      <c r="AJ39" s="1">
        <v>291.32</v>
      </c>
      <c r="AL39" s="1">
        <v>3638.74</v>
      </c>
      <c r="AM39" s="1">
        <v>1</v>
      </c>
      <c r="AN39" s="1">
        <v>518</v>
      </c>
      <c r="AO39" s="1">
        <v>0</v>
      </c>
      <c r="AP39" s="1">
        <v>1.07</v>
      </c>
      <c r="AQ39">
        <v>63</v>
      </c>
      <c r="AR39" s="1">
        <v>490.66</v>
      </c>
      <c r="AS39">
        <v>216</v>
      </c>
      <c r="AT39" s="1">
        <v>1778.19</v>
      </c>
      <c r="AU39">
        <v>22</v>
      </c>
      <c r="AV39" s="1">
        <v>170.08</v>
      </c>
      <c r="AW39">
        <v>3</v>
      </c>
      <c r="AX39" s="1">
        <v>26.77</v>
      </c>
      <c r="AY39">
        <v>49</v>
      </c>
      <c r="AZ39" s="1">
        <v>642.65</v>
      </c>
      <c r="BC39">
        <v>1</v>
      </c>
      <c r="BD39" s="1">
        <v>10.86</v>
      </c>
      <c r="BE39">
        <v>18</v>
      </c>
      <c r="BF39" s="1">
        <v>118.68</v>
      </c>
      <c r="BG39">
        <v>4</v>
      </c>
      <c r="BH39" s="1">
        <v>26.57</v>
      </c>
      <c r="BK39">
        <v>4</v>
      </c>
      <c r="BL39" s="1">
        <v>20.84</v>
      </c>
      <c r="BM39">
        <v>1</v>
      </c>
      <c r="BN39" s="1">
        <v>3.34</v>
      </c>
      <c r="BO39" s="1">
        <v>3.09</v>
      </c>
      <c r="BP39">
        <v>1</v>
      </c>
      <c r="BQ39" s="1">
        <v>19.57</v>
      </c>
      <c r="BR39" s="1">
        <v>18.12</v>
      </c>
      <c r="BZ39">
        <v>1</v>
      </c>
      <c r="CA39">
        <v>11</v>
      </c>
      <c r="CB39" s="1">
        <v>115.92</v>
      </c>
      <c r="CG39">
        <v>38</v>
      </c>
      <c r="CH39">
        <v>38</v>
      </c>
    </row>
    <row r="40" spans="1:86" x14ac:dyDescent="0.35">
      <c r="A40">
        <v>357150</v>
      </c>
      <c r="B40" s="2">
        <v>44199</v>
      </c>
      <c r="C40" s="2">
        <v>44199</v>
      </c>
      <c r="D40">
        <v>176</v>
      </c>
      <c r="E40">
        <v>680.14</v>
      </c>
      <c r="F40">
        <v>1814.97</v>
      </c>
      <c r="G40">
        <v>489.71</v>
      </c>
      <c r="H40">
        <v>591.1</v>
      </c>
      <c r="I40">
        <v>113.1</v>
      </c>
      <c r="J40">
        <v>3173.73</v>
      </c>
      <c r="K40">
        <v>240.03</v>
      </c>
      <c r="L40">
        <v>468</v>
      </c>
      <c r="M40">
        <v>240.92</v>
      </c>
      <c r="N40">
        <v>3266.45</v>
      </c>
      <c r="O40">
        <v>5</v>
      </c>
      <c r="P40">
        <v>10.16</v>
      </c>
      <c r="R40">
        <v>93.61</v>
      </c>
      <c r="V40">
        <v>1</v>
      </c>
      <c r="W40">
        <v>100</v>
      </c>
      <c r="X40">
        <v>0</v>
      </c>
      <c r="Y40">
        <v>0</v>
      </c>
      <c r="Z40">
        <v>59</v>
      </c>
      <c r="AA40">
        <v>138.30000000000001</v>
      </c>
      <c r="AB40">
        <v>15</v>
      </c>
      <c r="AC40">
        <v>109.21</v>
      </c>
      <c r="AD40">
        <v>18</v>
      </c>
      <c r="AE40">
        <v>26.5</v>
      </c>
      <c r="AH40">
        <v>0</v>
      </c>
      <c r="AJ40">
        <v>273.14999999999998</v>
      </c>
      <c r="AN40">
        <v>1093</v>
      </c>
      <c r="AO40">
        <v>0</v>
      </c>
      <c r="AP40">
        <v>2.0799999999999272</v>
      </c>
      <c r="AQ40">
        <v>77</v>
      </c>
      <c r="AR40">
        <v>717.91</v>
      </c>
      <c r="AS40">
        <v>162</v>
      </c>
      <c r="AT40">
        <v>1251.6600000000001</v>
      </c>
      <c r="AU40">
        <v>14</v>
      </c>
      <c r="AV40">
        <v>96</v>
      </c>
      <c r="AW40">
        <v>5</v>
      </c>
      <c r="AX40">
        <v>43.83</v>
      </c>
      <c r="AY40">
        <v>79</v>
      </c>
      <c r="AZ40">
        <v>586.59</v>
      </c>
      <c r="BS40">
        <v>3413.76</v>
      </c>
      <c r="BV40">
        <v>0</v>
      </c>
      <c r="BW40">
        <v>0</v>
      </c>
      <c r="BZ40">
        <v>1</v>
      </c>
      <c r="CG40">
        <v>39</v>
      </c>
      <c r="CH40">
        <v>39</v>
      </c>
    </row>
    <row r="41" spans="1:86" x14ac:dyDescent="0.35">
      <c r="A41">
        <v>359606</v>
      </c>
      <c r="B41" s="2">
        <v>44199</v>
      </c>
      <c r="C41" s="2">
        <v>44199</v>
      </c>
      <c r="D41">
        <v>53</v>
      </c>
      <c r="E41">
        <v>172.97</v>
      </c>
      <c r="F41">
        <v>561.67000000000007</v>
      </c>
      <c r="G41">
        <v>180.29</v>
      </c>
      <c r="H41">
        <v>466.64</v>
      </c>
      <c r="I41">
        <v>28.06</v>
      </c>
      <c r="J41">
        <v>1266.1899999999998</v>
      </c>
      <c r="K41">
        <v>24.21</v>
      </c>
      <c r="L41">
        <v>212</v>
      </c>
      <c r="M41">
        <v>29.35</v>
      </c>
      <c r="N41">
        <v>1337.33</v>
      </c>
      <c r="O41">
        <v>0</v>
      </c>
      <c r="P41">
        <v>0</v>
      </c>
      <c r="R41">
        <v>76.28</v>
      </c>
      <c r="V41">
        <v>0</v>
      </c>
      <c r="W41">
        <v>0</v>
      </c>
      <c r="X41">
        <v>0</v>
      </c>
      <c r="Y41">
        <v>0</v>
      </c>
      <c r="Z41">
        <v>28</v>
      </c>
      <c r="AA41">
        <v>77.28</v>
      </c>
      <c r="AB41">
        <v>2</v>
      </c>
      <c r="AC41">
        <v>18.87</v>
      </c>
      <c r="AD41">
        <v>0</v>
      </c>
      <c r="AE41">
        <v>0</v>
      </c>
      <c r="AH41">
        <v>0</v>
      </c>
      <c r="AJ41">
        <v>114.82</v>
      </c>
      <c r="AN41">
        <v>601</v>
      </c>
      <c r="AO41">
        <v>0</v>
      </c>
      <c r="AP41">
        <v>439.32</v>
      </c>
      <c r="AQ41">
        <v>33</v>
      </c>
      <c r="AR41">
        <v>303.5</v>
      </c>
      <c r="AS41">
        <v>84</v>
      </c>
      <c r="AT41">
        <v>545.87</v>
      </c>
      <c r="AU41">
        <v>20</v>
      </c>
      <c r="AV41">
        <v>158.38</v>
      </c>
      <c r="AW41">
        <v>4</v>
      </c>
      <c r="AX41">
        <v>16.05</v>
      </c>
      <c r="AY41">
        <v>30</v>
      </c>
      <c r="AZ41">
        <v>177.64</v>
      </c>
      <c r="BP41">
        <v>2</v>
      </c>
      <c r="BQ41">
        <v>42.1</v>
      </c>
      <c r="BR41">
        <v>41.04</v>
      </c>
      <c r="BS41">
        <v>1290.4000000000001</v>
      </c>
      <c r="BV41">
        <v>41.279999999999973</v>
      </c>
      <c r="BW41">
        <v>41.28</v>
      </c>
      <c r="BZ41">
        <v>1</v>
      </c>
      <c r="CG41">
        <v>40</v>
      </c>
      <c r="CH41">
        <v>40</v>
      </c>
    </row>
    <row r="42" spans="1:86" x14ac:dyDescent="0.35">
      <c r="A42">
        <v>358682</v>
      </c>
      <c r="B42" s="2">
        <v>44199</v>
      </c>
      <c r="C42" s="2">
        <v>44199</v>
      </c>
      <c r="D42">
        <v>71</v>
      </c>
      <c r="E42">
        <v>247.19</v>
      </c>
      <c r="F42">
        <v>774.04000000000008</v>
      </c>
      <c r="G42">
        <v>86.69</v>
      </c>
      <c r="H42">
        <v>483.92</v>
      </c>
      <c r="I42">
        <v>74.41</v>
      </c>
      <c r="J42">
        <v>1421.38</v>
      </c>
      <c r="K42">
        <v>46.04</v>
      </c>
      <c r="L42">
        <v>227</v>
      </c>
      <c r="M42">
        <v>57.47</v>
      </c>
      <c r="N42">
        <v>1513.51</v>
      </c>
      <c r="O42">
        <v>1</v>
      </c>
      <c r="P42">
        <v>9.49</v>
      </c>
      <c r="R42">
        <v>103.56</v>
      </c>
      <c r="V42">
        <v>0</v>
      </c>
      <c r="W42">
        <v>0</v>
      </c>
      <c r="X42">
        <v>0</v>
      </c>
      <c r="Y42">
        <v>0</v>
      </c>
      <c r="Z42">
        <v>29</v>
      </c>
      <c r="AA42">
        <v>64.06</v>
      </c>
      <c r="AB42">
        <v>6</v>
      </c>
      <c r="AC42">
        <v>150.47</v>
      </c>
      <c r="AD42">
        <v>13</v>
      </c>
      <c r="AE42">
        <v>14.81</v>
      </c>
      <c r="AH42">
        <v>0</v>
      </c>
      <c r="AJ42">
        <v>129.63999999999999</v>
      </c>
      <c r="AN42">
        <v>238.02</v>
      </c>
      <c r="AO42">
        <v>0</v>
      </c>
      <c r="AP42">
        <v>-1.5499999999999829</v>
      </c>
      <c r="AQ42">
        <v>31</v>
      </c>
      <c r="AR42">
        <v>227.56</v>
      </c>
      <c r="AS42">
        <v>101</v>
      </c>
      <c r="AT42">
        <v>707.48</v>
      </c>
      <c r="AU42">
        <v>19</v>
      </c>
      <c r="AV42">
        <v>103.47</v>
      </c>
      <c r="AW42">
        <v>6</v>
      </c>
      <c r="AX42">
        <v>22.53</v>
      </c>
      <c r="AY42">
        <v>25</v>
      </c>
      <c r="AZ42">
        <v>118.86</v>
      </c>
      <c r="BM42">
        <v>2</v>
      </c>
      <c r="BN42">
        <v>20.2</v>
      </c>
      <c r="BP42">
        <v>13</v>
      </c>
      <c r="BQ42">
        <v>143.51</v>
      </c>
      <c r="BR42">
        <v>131.77000000000001</v>
      </c>
      <c r="BS42">
        <v>1467.42</v>
      </c>
      <c r="BV42">
        <v>0</v>
      </c>
      <c r="BW42">
        <v>0</v>
      </c>
      <c r="BZ42">
        <v>1</v>
      </c>
      <c r="CA42">
        <v>1</v>
      </c>
      <c r="CB42">
        <v>13.88</v>
      </c>
      <c r="CG42">
        <v>41</v>
      </c>
      <c r="CH42">
        <v>41</v>
      </c>
    </row>
    <row r="43" spans="1:86" x14ac:dyDescent="0.35">
      <c r="A43">
        <v>350432</v>
      </c>
      <c r="B43" s="2">
        <v>44200</v>
      </c>
      <c r="C43" s="2">
        <v>44200</v>
      </c>
      <c r="D43">
        <v>159</v>
      </c>
      <c r="E43" s="1">
        <v>508.6</v>
      </c>
      <c r="F43" s="1">
        <v>1734.61</v>
      </c>
      <c r="G43" s="1">
        <v>481.58</v>
      </c>
      <c r="H43" s="1">
        <v>1015.36</v>
      </c>
      <c r="I43" s="1">
        <v>114.22</v>
      </c>
      <c r="J43" s="1">
        <v>3569.38</v>
      </c>
      <c r="K43" s="1">
        <v>577.25</v>
      </c>
      <c r="L43">
        <v>688</v>
      </c>
      <c r="M43" s="1">
        <v>586.97</v>
      </c>
      <c r="N43" s="1">
        <v>3684.07</v>
      </c>
      <c r="O43">
        <v>0</v>
      </c>
      <c r="P43" s="1">
        <v>0</v>
      </c>
      <c r="Q43">
        <v>12</v>
      </c>
      <c r="R43" s="1">
        <v>7.55</v>
      </c>
      <c r="S43">
        <v>29</v>
      </c>
      <c r="T43" s="1">
        <v>53.59</v>
      </c>
      <c r="U43" s="1">
        <v>63.27</v>
      </c>
      <c r="V43">
        <v>0</v>
      </c>
      <c r="W43" s="1">
        <v>0</v>
      </c>
      <c r="X43">
        <v>24</v>
      </c>
      <c r="Y43" s="1">
        <v>0</v>
      </c>
      <c r="Z43">
        <v>149</v>
      </c>
      <c r="AA43" s="1">
        <v>567.65</v>
      </c>
      <c r="AB43">
        <v>23</v>
      </c>
      <c r="AC43" s="1">
        <v>58.85</v>
      </c>
      <c r="AD43">
        <v>2</v>
      </c>
      <c r="AE43" s="1">
        <v>6.13</v>
      </c>
      <c r="AF43" s="1">
        <v>0</v>
      </c>
      <c r="AG43" s="1">
        <v>0</v>
      </c>
      <c r="AH43" s="1">
        <v>0</v>
      </c>
      <c r="AI43" s="1">
        <v>0</v>
      </c>
      <c r="AJ43" s="1">
        <v>368.87</v>
      </c>
      <c r="AL43" s="1">
        <v>4146.63</v>
      </c>
      <c r="AM43" s="1">
        <v>0</v>
      </c>
      <c r="AN43" s="1">
        <v>896</v>
      </c>
      <c r="AO43" s="1">
        <v>58</v>
      </c>
      <c r="AP43" s="1">
        <v>2.59</v>
      </c>
      <c r="AQ43">
        <v>59</v>
      </c>
      <c r="AR43" s="1">
        <v>402.02</v>
      </c>
      <c r="AS43">
        <v>303</v>
      </c>
      <c r="AT43" s="1">
        <v>2082.98</v>
      </c>
      <c r="AU43">
        <v>33</v>
      </c>
      <c r="AV43" s="1">
        <v>222.65</v>
      </c>
      <c r="AW43">
        <v>3</v>
      </c>
      <c r="AX43" s="1">
        <v>9.01</v>
      </c>
      <c r="AY43">
        <v>55</v>
      </c>
      <c r="AZ43" s="1">
        <v>263.11</v>
      </c>
      <c r="BA43">
        <v>1</v>
      </c>
      <c r="BB43" s="1">
        <v>10.64</v>
      </c>
      <c r="BC43">
        <v>1</v>
      </c>
      <c r="BD43" s="1">
        <v>6.31</v>
      </c>
      <c r="BE43">
        <v>11</v>
      </c>
      <c r="BF43" s="1">
        <v>46.88</v>
      </c>
      <c r="BG43">
        <v>5</v>
      </c>
      <c r="BH43" s="1">
        <v>24.72</v>
      </c>
      <c r="BK43">
        <v>6</v>
      </c>
      <c r="BL43" s="1">
        <v>57.82</v>
      </c>
      <c r="BM43">
        <v>1</v>
      </c>
      <c r="BN43" s="1">
        <v>30.6</v>
      </c>
      <c r="BO43" s="1">
        <v>28.1</v>
      </c>
      <c r="BP43">
        <v>23</v>
      </c>
      <c r="BQ43" s="1">
        <v>320.33</v>
      </c>
      <c r="BR43" s="1">
        <v>267.72000000000003</v>
      </c>
      <c r="BZ43">
        <v>1</v>
      </c>
      <c r="CA43">
        <v>6</v>
      </c>
      <c r="CB43" s="1">
        <v>87.02</v>
      </c>
      <c r="CG43">
        <v>42</v>
      </c>
      <c r="CH43">
        <v>42</v>
      </c>
    </row>
    <row r="44" spans="1:86" x14ac:dyDescent="0.35">
      <c r="A44">
        <v>350437</v>
      </c>
      <c r="B44" s="2">
        <v>44200</v>
      </c>
      <c r="C44" s="2">
        <v>44200</v>
      </c>
      <c r="D44">
        <v>78</v>
      </c>
      <c r="E44" s="1">
        <v>241.7</v>
      </c>
      <c r="F44" s="1">
        <v>1001.23</v>
      </c>
      <c r="G44" s="1">
        <v>423.04</v>
      </c>
      <c r="H44" s="1">
        <v>414.28</v>
      </c>
      <c r="I44" s="1">
        <v>60.71</v>
      </c>
      <c r="J44" s="1">
        <v>2055.86</v>
      </c>
      <c r="K44" s="1">
        <v>0</v>
      </c>
      <c r="L44">
        <v>367</v>
      </c>
      <c r="M44" s="1">
        <v>0</v>
      </c>
      <c r="N44" s="1">
        <v>2126.84</v>
      </c>
      <c r="O44">
        <v>0</v>
      </c>
      <c r="P44" s="1">
        <v>0</v>
      </c>
      <c r="Q44">
        <v>5</v>
      </c>
      <c r="R44" s="1">
        <v>1.21</v>
      </c>
      <c r="S44">
        <v>9</v>
      </c>
      <c r="T44" s="1">
        <v>28.93</v>
      </c>
      <c r="U44" s="1">
        <v>40.840000000000003</v>
      </c>
      <c r="V44">
        <v>0</v>
      </c>
      <c r="W44" s="1">
        <v>0</v>
      </c>
      <c r="X44">
        <v>12</v>
      </c>
      <c r="Y44" s="1">
        <v>0</v>
      </c>
      <c r="Z44">
        <v>50</v>
      </c>
      <c r="AA44" s="1">
        <v>171.55</v>
      </c>
      <c r="AB44">
        <v>2</v>
      </c>
      <c r="AC44" s="1">
        <v>13.98</v>
      </c>
      <c r="AD44">
        <v>0</v>
      </c>
      <c r="AE44" s="1">
        <v>0</v>
      </c>
      <c r="AF44" s="1">
        <v>0</v>
      </c>
      <c r="AG44" s="1">
        <v>0</v>
      </c>
      <c r="AH44" s="1">
        <v>0</v>
      </c>
      <c r="AI44" s="1">
        <v>0</v>
      </c>
      <c r="AJ44" s="1">
        <v>182.92</v>
      </c>
      <c r="AL44" s="1">
        <v>2055.86</v>
      </c>
      <c r="AM44" s="1">
        <v>0</v>
      </c>
      <c r="AN44" s="1">
        <v>348</v>
      </c>
      <c r="AO44" s="1">
        <v>0</v>
      </c>
      <c r="AP44" s="1">
        <v>2.31</v>
      </c>
      <c r="AQ44">
        <v>40</v>
      </c>
      <c r="AR44" s="1">
        <v>249.27</v>
      </c>
      <c r="AS44">
        <v>162</v>
      </c>
      <c r="AT44" s="1">
        <v>1050.93</v>
      </c>
      <c r="AU44">
        <v>27</v>
      </c>
      <c r="AV44" s="1">
        <v>154.41</v>
      </c>
      <c r="AW44">
        <v>2</v>
      </c>
      <c r="AX44" s="1">
        <v>35.869999999999997</v>
      </c>
      <c r="AY44">
        <v>43</v>
      </c>
      <c r="AZ44" s="1">
        <v>194.21</v>
      </c>
      <c r="BC44">
        <v>1</v>
      </c>
      <c r="BD44" s="1">
        <v>3.37</v>
      </c>
      <c r="BE44">
        <v>14</v>
      </c>
      <c r="BF44" s="1">
        <v>86.23</v>
      </c>
      <c r="BK44">
        <v>4</v>
      </c>
      <c r="BL44" s="1">
        <v>55.64</v>
      </c>
      <c r="BM44">
        <v>1</v>
      </c>
      <c r="BN44" s="1">
        <v>6.5</v>
      </c>
      <c r="BO44" s="1">
        <v>5.97</v>
      </c>
      <c r="BZ44">
        <v>1</v>
      </c>
      <c r="CA44">
        <v>5</v>
      </c>
      <c r="CB44" s="1">
        <v>56.66</v>
      </c>
      <c r="CG44">
        <v>43</v>
      </c>
      <c r="CH44">
        <v>43</v>
      </c>
    </row>
    <row r="45" spans="1:86" x14ac:dyDescent="0.35">
      <c r="A45">
        <v>351323</v>
      </c>
      <c r="B45" s="2">
        <v>44200</v>
      </c>
      <c r="C45" s="2">
        <v>44200</v>
      </c>
      <c r="D45">
        <v>130</v>
      </c>
      <c r="E45" s="1">
        <v>464.01</v>
      </c>
      <c r="F45" s="1">
        <v>1518.02</v>
      </c>
      <c r="G45" s="1">
        <v>420.02</v>
      </c>
      <c r="H45" s="1">
        <v>573.09</v>
      </c>
      <c r="I45" s="1">
        <v>94.77</v>
      </c>
      <c r="J45" s="1">
        <v>2778.57</v>
      </c>
      <c r="K45" s="1">
        <v>322.39</v>
      </c>
      <c r="L45">
        <v>551</v>
      </c>
      <c r="M45" s="1">
        <v>334.39</v>
      </c>
      <c r="N45" s="1">
        <v>2897.03</v>
      </c>
      <c r="O45">
        <v>2</v>
      </c>
      <c r="P45" s="1">
        <v>9.26</v>
      </c>
      <c r="Q45">
        <v>13</v>
      </c>
      <c r="R45" s="1">
        <v>6.05</v>
      </c>
      <c r="S45">
        <v>38</v>
      </c>
      <c r="T45" s="1">
        <v>56.66</v>
      </c>
      <c r="U45" s="1">
        <v>58.49</v>
      </c>
      <c r="V45">
        <v>1</v>
      </c>
      <c r="W45" s="1">
        <v>5</v>
      </c>
      <c r="X45">
        <v>9</v>
      </c>
      <c r="Y45" s="1">
        <v>0</v>
      </c>
      <c r="Z45">
        <v>84</v>
      </c>
      <c r="AA45" s="1">
        <v>220.44</v>
      </c>
      <c r="AB45">
        <v>25</v>
      </c>
      <c r="AC45" s="1">
        <v>69.819999999999993</v>
      </c>
      <c r="AD45">
        <v>2</v>
      </c>
      <c r="AE45" s="1">
        <v>6.66</v>
      </c>
      <c r="AF45" s="1">
        <v>0</v>
      </c>
      <c r="AG45" s="1">
        <v>0</v>
      </c>
      <c r="AH45" s="1">
        <v>0</v>
      </c>
      <c r="AI45" s="1">
        <v>0</v>
      </c>
      <c r="AJ45" s="1">
        <v>185.96</v>
      </c>
      <c r="AL45" s="1">
        <v>3100.96</v>
      </c>
      <c r="AM45" s="1">
        <v>0</v>
      </c>
      <c r="AN45" s="1">
        <v>0</v>
      </c>
      <c r="AO45" s="1">
        <v>0</v>
      </c>
      <c r="AP45" s="1">
        <v>-591.45000000000005</v>
      </c>
      <c r="AQ45">
        <v>66</v>
      </c>
      <c r="AR45" s="1">
        <v>448.39</v>
      </c>
      <c r="AS45">
        <v>233</v>
      </c>
      <c r="AT45" s="1">
        <v>1571.8</v>
      </c>
      <c r="AU45">
        <v>8</v>
      </c>
      <c r="AV45" s="1">
        <v>57.66</v>
      </c>
      <c r="AW45">
        <v>8</v>
      </c>
      <c r="AX45" s="1">
        <v>38.770000000000003</v>
      </c>
      <c r="AY45">
        <v>82</v>
      </c>
      <c r="AZ45" s="1">
        <v>366.97</v>
      </c>
      <c r="BC45">
        <v>1</v>
      </c>
      <c r="BD45" s="1">
        <v>10.26</v>
      </c>
      <c r="BE45">
        <v>14</v>
      </c>
      <c r="BF45" s="1">
        <v>68.3</v>
      </c>
      <c r="BG45">
        <v>1</v>
      </c>
      <c r="BH45" s="1">
        <v>2.5299999999999998</v>
      </c>
      <c r="BI45">
        <v>1</v>
      </c>
      <c r="BJ45" s="1">
        <v>42.38</v>
      </c>
      <c r="BK45">
        <v>1</v>
      </c>
      <c r="BL45" s="1">
        <v>9.41</v>
      </c>
      <c r="BM45">
        <v>2</v>
      </c>
      <c r="BN45" s="1">
        <v>25.27</v>
      </c>
      <c r="BO45" s="1">
        <v>23.84</v>
      </c>
      <c r="BP45">
        <v>3</v>
      </c>
      <c r="BQ45" s="1">
        <v>45.98</v>
      </c>
      <c r="BR45" s="1">
        <v>43.38</v>
      </c>
      <c r="BZ45">
        <v>1</v>
      </c>
      <c r="CA45">
        <v>1</v>
      </c>
      <c r="CB45" s="1">
        <v>12.75</v>
      </c>
      <c r="CG45">
        <v>44</v>
      </c>
      <c r="CH45">
        <v>44</v>
      </c>
    </row>
    <row r="46" spans="1:86" x14ac:dyDescent="0.35">
      <c r="A46">
        <v>352613</v>
      </c>
      <c r="B46" s="2">
        <v>44200</v>
      </c>
      <c r="C46" s="2">
        <v>44200</v>
      </c>
      <c r="D46">
        <v>81</v>
      </c>
      <c r="E46" s="1">
        <v>267.89999999999998</v>
      </c>
      <c r="F46" s="1">
        <v>1307.98</v>
      </c>
      <c r="G46" s="1">
        <v>477.42</v>
      </c>
      <c r="H46" s="1">
        <v>460.3</v>
      </c>
      <c r="I46" s="1">
        <v>112.99</v>
      </c>
      <c r="J46" s="1">
        <v>2479.7600000000002</v>
      </c>
      <c r="K46" s="1">
        <v>276.41000000000003</v>
      </c>
      <c r="L46">
        <v>543</v>
      </c>
      <c r="M46" s="1">
        <v>282.79000000000002</v>
      </c>
      <c r="N46" s="1">
        <v>2564.1999999999998</v>
      </c>
      <c r="O46">
        <v>1</v>
      </c>
      <c r="P46" s="1">
        <v>5.97</v>
      </c>
      <c r="Q46">
        <v>6</v>
      </c>
      <c r="R46" s="1">
        <v>6.29</v>
      </c>
      <c r="S46">
        <v>22</v>
      </c>
      <c r="T46" s="1">
        <v>34.03</v>
      </c>
      <c r="U46" s="1">
        <v>44.53</v>
      </c>
      <c r="V46">
        <v>2</v>
      </c>
      <c r="W46" s="1">
        <v>25</v>
      </c>
      <c r="X46">
        <v>18</v>
      </c>
      <c r="Y46" s="1">
        <v>0</v>
      </c>
      <c r="Z46">
        <v>98</v>
      </c>
      <c r="AA46" s="1">
        <v>303.58999999999997</v>
      </c>
      <c r="AB46">
        <v>24</v>
      </c>
      <c r="AC46" s="1">
        <v>55.58</v>
      </c>
      <c r="AD46">
        <v>6</v>
      </c>
      <c r="AE46" s="1">
        <v>14.03</v>
      </c>
      <c r="AF46" s="1">
        <v>0</v>
      </c>
      <c r="AG46" s="1">
        <v>0</v>
      </c>
      <c r="AH46" s="1">
        <v>0</v>
      </c>
      <c r="AI46" s="1">
        <v>0</v>
      </c>
      <c r="AJ46" s="1">
        <v>220.75</v>
      </c>
      <c r="AL46" s="1">
        <v>2756.17</v>
      </c>
      <c r="AM46" s="1">
        <v>0</v>
      </c>
      <c r="AN46" s="1">
        <v>842</v>
      </c>
      <c r="AO46" s="1">
        <v>7.1</v>
      </c>
      <c r="AP46" s="1">
        <v>0.4</v>
      </c>
      <c r="AQ46">
        <v>55</v>
      </c>
      <c r="AR46" s="1">
        <v>327.14</v>
      </c>
      <c r="AS46">
        <v>221</v>
      </c>
      <c r="AT46" s="1">
        <v>1351.15</v>
      </c>
      <c r="AU46">
        <v>14</v>
      </c>
      <c r="AV46" s="1">
        <v>69.510000000000005</v>
      </c>
      <c r="AW46">
        <v>1</v>
      </c>
      <c r="AX46" s="1">
        <v>11.58</v>
      </c>
      <c r="AY46">
        <v>44</v>
      </c>
      <c r="AZ46" s="1">
        <v>188.84</v>
      </c>
      <c r="BE46">
        <v>12</v>
      </c>
      <c r="BF46" s="1">
        <v>65.06</v>
      </c>
      <c r="BK46">
        <v>7</v>
      </c>
      <c r="BL46" s="1">
        <v>32.880000000000003</v>
      </c>
      <c r="BM46">
        <v>1</v>
      </c>
      <c r="BN46" s="1">
        <v>26.32</v>
      </c>
      <c r="BO46" s="1">
        <v>24.37</v>
      </c>
      <c r="BP46">
        <v>5</v>
      </c>
      <c r="BQ46" s="1">
        <v>54.95</v>
      </c>
      <c r="BR46" s="1">
        <v>50.88</v>
      </c>
      <c r="BZ46">
        <v>1</v>
      </c>
      <c r="CA46">
        <v>3</v>
      </c>
      <c r="CB46" s="1">
        <v>25.79</v>
      </c>
      <c r="CG46">
        <v>45</v>
      </c>
      <c r="CH46">
        <v>45</v>
      </c>
    </row>
    <row r="47" spans="1:86" x14ac:dyDescent="0.35">
      <c r="A47">
        <v>353927</v>
      </c>
      <c r="B47" s="2">
        <v>44200</v>
      </c>
      <c r="C47" s="2">
        <v>44200</v>
      </c>
      <c r="D47">
        <v>126</v>
      </c>
      <c r="E47" s="1">
        <v>402.47</v>
      </c>
      <c r="F47" s="1">
        <v>1529.29</v>
      </c>
      <c r="G47" s="1">
        <v>614.41</v>
      </c>
      <c r="H47" s="1">
        <v>637.05999999999995</v>
      </c>
      <c r="I47" s="1">
        <v>110.7</v>
      </c>
      <c r="J47" s="1">
        <v>3054.42</v>
      </c>
      <c r="K47" s="1">
        <v>0</v>
      </c>
      <c r="L47">
        <v>519</v>
      </c>
      <c r="M47" s="1">
        <v>0</v>
      </c>
      <c r="N47" s="1">
        <v>3183.77</v>
      </c>
      <c r="O47">
        <v>0</v>
      </c>
      <c r="P47" s="1">
        <v>0</v>
      </c>
      <c r="Q47">
        <v>3</v>
      </c>
      <c r="R47" s="1">
        <v>0.9</v>
      </c>
      <c r="S47">
        <v>38</v>
      </c>
      <c r="T47" s="1">
        <v>65.430000000000007</v>
      </c>
      <c r="U47" s="1">
        <v>63.02</v>
      </c>
      <c r="V47">
        <v>1</v>
      </c>
      <c r="W47" s="1">
        <v>20</v>
      </c>
      <c r="X47">
        <v>10</v>
      </c>
      <c r="Y47" s="1">
        <v>0</v>
      </c>
      <c r="Z47">
        <v>83</v>
      </c>
      <c r="AA47" s="1">
        <v>223.46</v>
      </c>
      <c r="AB47">
        <v>11</v>
      </c>
      <c r="AC47" s="1">
        <v>28.09</v>
      </c>
      <c r="AD47">
        <v>10</v>
      </c>
      <c r="AE47" s="1">
        <v>17.309999999999999</v>
      </c>
      <c r="AF47" s="1">
        <v>0</v>
      </c>
      <c r="AG47" s="1">
        <v>0</v>
      </c>
      <c r="AH47" s="1">
        <v>0</v>
      </c>
      <c r="AI47" s="1">
        <v>0</v>
      </c>
      <c r="AJ47" s="1">
        <v>183.19</v>
      </c>
      <c r="AL47" s="1">
        <v>3054.42</v>
      </c>
      <c r="AM47" s="1">
        <v>0</v>
      </c>
      <c r="AN47" s="1">
        <v>747</v>
      </c>
      <c r="AO47" s="1">
        <v>0</v>
      </c>
      <c r="AP47" s="1">
        <v>6.25</v>
      </c>
      <c r="AQ47">
        <v>78</v>
      </c>
      <c r="AR47" s="1">
        <v>486.23</v>
      </c>
      <c r="AS47">
        <v>202</v>
      </c>
      <c r="AT47" s="1">
        <v>1330.12</v>
      </c>
      <c r="AU47">
        <v>14</v>
      </c>
      <c r="AV47" s="1">
        <v>97.46</v>
      </c>
      <c r="AW47">
        <v>4</v>
      </c>
      <c r="AX47" s="1">
        <v>26.97</v>
      </c>
      <c r="AY47">
        <v>54</v>
      </c>
      <c r="AZ47" s="1">
        <v>270.42</v>
      </c>
      <c r="BE47">
        <v>17</v>
      </c>
      <c r="BF47" s="1">
        <v>84.11</v>
      </c>
      <c r="BG47">
        <v>3</v>
      </c>
      <c r="BH47" s="1">
        <v>96.16</v>
      </c>
      <c r="BK47">
        <v>4</v>
      </c>
      <c r="BL47" s="1">
        <v>31.8</v>
      </c>
      <c r="BP47">
        <v>5</v>
      </c>
      <c r="BQ47" s="1">
        <v>35.83</v>
      </c>
      <c r="BR47" s="1">
        <v>23.01</v>
      </c>
      <c r="BZ47">
        <v>1</v>
      </c>
      <c r="CA47">
        <v>6</v>
      </c>
      <c r="CB47" s="1">
        <v>57.76</v>
      </c>
      <c r="CG47">
        <v>46</v>
      </c>
      <c r="CH47">
        <v>46</v>
      </c>
    </row>
    <row r="48" spans="1:86" x14ac:dyDescent="0.35">
      <c r="A48">
        <v>354030</v>
      </c>
      <c r="B48" s="2">
        <v>44200</v>
      </c>
      <c r="C48" s="2">
        <v>44200</v>
      </c>
      <c r="D48">
        <v>107</v>
      </c>
      <c r="E48" s="1">
        <v>388.56</v>
      </c>
      <c r="F48" s="1">
        <v>1213.3900000000001</v>
      </c>
      <c r="G48" s="1">
        <v>332.26</v>
      </c>
      <c r="H48" s="1">
        <v>470.19</v>
      </c>
      <c r="I48" s="1">
        <v>61.65</v>
      </c>
      <c r="J48" s="1">
        <v>2226.73</v>
      </c>
      <c r="K48" s="1">
        <v>119.52</v>
      </c>
      <c r="L48">
        <v>411</v>
      </c>
      <c r="M48" s="1">
        <v>119.52</v>
      </c>
      <c r="N48" s="1">
        <v>2329.2199999999998</v>
      </c>
      <c r="O48">
        <v>0</v>
      </c>
      <c r="P48" s="1">
        <v>0</v>
      </c>
      <c r="Q48">
        <v>7</v>
      </c>
      <c r="R48" s="1">
        <v>5.39</v>
      </c>
      <c r="S48">
        <v>19</v>
      </c>
      <c r="T48" s="1">
        <v>46.78</v>
      </c>
      <c r="U48" s="1">
        <v>50.32</v>
      </c>
      <c r="V48">
        <v>5</v>
      </c>
      <c r="W48" s="1">
        <v>45</v>
      </c>
      <c r="X48">
        <v>3</v>
      </c>
      <c r="Y48" s="1">
        <v>0</v>
      </c>
      <c r="Z48">
        <v>37</v>
      </c>
      <c r="AA48" s="1">
        <v>151.25</v>
      </c>
      <c r="AB48">
        <v>6</v>
      </c>
      <c r="AC48" s="1">
        <v>17.84</v>
      </c>
      <c r="AD48">
        <v>1</v>
      </c>
      <c r="AE48" s="1">
        <v>3.26</v>
      </c>
      <c r="AF48" s="1">
        <v>0</v>
      </c>
      <c r="AG48" s="1">
        <v>0</v>
      </c>
      <c r="AH48" s="1">
        <v>0</v>
      </c>
      <c r="AI48" s="1">
        <v>0</v>
      </c>
      <c r="AJ48" s="1">
        <v>140.71</v>
      </c>
      <c r="AL48" s="1">
        <v>2346.25</v>
      </c>
      <c r="AM48" s="1">
        <v>0</v>
      </c>
      <c r="AN48" s="1">
        <v>440</v>
      </c>
      <c r="AO48" s="1">
        <v>0</v>
      </c>
      <c r="AP48" s="1">
        <v>-5.41</v>
      </c>
      <c r="AQ48">
        <v>54</v>
      </c>
      <c r="AR48" s="1">
        <v>382.23</v>
      </c>
      <c r="AS48">
        <v>156</v>
      </c>
      <c r="AT48" s="1">
        <v>1013.44</v>
      </c>
      <c r="AU48">
        <v>12</v>
      </c>
      <c r="AV48" s="1">
        <v>87.45</v>
      </c>
      <c r="AW48">
        <v>6</v>
      </c>
      <c r="AX48" s="1">
        <v>50.03</v>
      </c>
      <c r="AY48">
        <v>72</v>
      </c>
      <c r="AZ48" s="1">
        <v>329.39</v>
      </c>
      <c r="BE48">
        <v>17</v>
      </c>
      <c r="BF48" s="1">
        <v>92.11</v>
      </c>
      <c r="BG48">
        <v>2</v>
      </c>
      <c r="BH48" s="1">
        <v>8.77</v>
      </c>
      <c r="BK48">
        <v>7</v>
      </c>
      <c r="BL48" s="1">
        <v>70.650000000000006</v>
      </c>
      <c r="BM48">
        <v>2</v>
      </c>
      <c r="BN48" s="1">
        <v>9.52</v>
      </c>
      <c r="BO48" s="1">
        <v>8.98</v>
      </c>
      <c r="BZ48">
        <v>1</v>
      </c>
      <c r="CA48">
        <v>3</v>
      </c>
      <c r="CB48" s="1">
        <v>42.96</v>
      </c>
      <c r="CG48">
        <v>47</v>
      </c>
      <c r="CH48">
        <v>47</v>
      </c>
    </row>
    <row r="49" spans="1:86" x14ac:dyDescent="0.35">
      <c r="A49">
        <v>355439</v>
      </c>
      <c r="B49" s="2">
        <v>44200</v>
      </c>
      <c r="C49" s="2">
        <v>44200</v>
      </c>
      <c r="D49">
        <v>167</v>
      </c>
      <c r="E49" s="1">
        <v>499.42</v>
      </c>
      <c r="F49" s="1">
        <v>1687.76</v>
      </c>
      <c r="G49" s="1">
        <v>611.22</v>
      </c>
      <c r="H49" s="1">
        <v>600.73</v>
      </c>
      <c r="I49" s="1">
        <v>87.12</v>
      </c>
      <c r="J49" s="1">
        <v>3197.36</v>
      </c>
      <c r="K49" s="1">
        <v>0</v>
      </c>
      <c r="L49">
        <v>610</v>
      </c>
      <c r="M49" s="1">
        <v>0</v>
      </c>
      <c r="N49" s="1">
        <v>3299.41</v>
      </c>
      <c r="O49">
        <v>2</v>
      </c>
      <c r="P49" s="1">
        <v>7.67</v>
      </c>
      <c r="Q49">
        <v>7</v>
      </c>
      <c r="R49" s="1">
        <v>1.39</v>
      </c>
      <c r="S49">
        <v>22</v>
      </c>
      <c r="T49" s="1">
        <v>59.71</v>
      </c>
      <c r="U49" s="1">
        <v>33.28</v>
      </c>
      <c r="V49">
        <v>0</v>
      </c>
      <c r="W49" s="1">
        <v>0</v>
      </c>
      <c r="X49">
        <v>24</v>
      </c>
      <c r="Y49" s="1">
        <v>0</v>
      </c>
      <c r="Z49">
        <v>87</v>
      </c>
      <c r="AA49" s="1">
        <v>246.02</v>
      </c>
      <c r="AB49">
        <v>3</v>
      </c>
      <c r="AC49" s="1">
        <v>4.49</v>
      </c>
      <c r="AD49">
        <v>3</v>
      </c>
      <c r="AE49" s="1">
        <v>31.94</v>
      </c>
      <c r="AF49" s="1">
        <v>0</v>
      </c>
      <c r="AG49" s="1">
        <v>0</v>
      </c>
      <c r="AH49" s="1">
        <v>0</v>
      </c>
      <c r="AI49" s="1">
        <v>0</v>
      </c>
      <c r="AJ49" s="1">
        <v>256.08999999999997</v>
      </c>
      <c r="AL49" s="1">
        <v>3197.36</v>
      </c>
      <c r="AM49" s="1">
        <v>0</v>
      </c>
      <c r="AN49" s="1">
        <v>626</v>
      </c>
      <c r="AO49" s="1">
        <v>0</v>
      </c>
      <c r="AP49" s="1">
        <v>0.84</v>
      </c>
      <c r="AQ49">
        <v>56</v>
      </c>
      <c r="AR49" s="1">
        <v>428.18</v>
      </c>
      <c r="AS49">
        <v>266</v>
      </c>
      <c r="AT49" s="1">
        <v>1706.18</v>
      </c>
      <c r="AU49">
        <v>25</v>
      </c>
      <c r="AV49" s="1">
        <v>142.16999999999999</v>
      </c>
      <c r="AW49">
        <v>4</v>
      </c>
      <c r="AX49" s="1">
        <v>20.65</v>
      </c>
      <c r="AY49">
        <v>57</v>
      </c>
      <c r="AZ49" s="1">
        <v>240.17</v>
      </c>
      <c r="BA49">
        <v>3</v>
      </c>
      <c r="BB49" s="1">
        <v>22.11</v>
      </c>
      <c r="BE49">
        <v>18</v>
      </c>
      <c r="BF49" s="1">
        <v>81.93</v>
      </c>
      <c r="BG49">
        <v>2</v>
      </c>
      <c r="BH49" s="1">
        <v>7.76</v>
      </c>
      <c r="BK49">
        <v>13</v>
      </c>
      <c r="BL49" s="1">
        <v>69.12</v>
      </c>
      <c r="BM49">
        <v>5</v>
      </c>
      <c r="BN49" s="1">
        <v>15.87</v>
      </c>
      <c r="BO49" s="1">
        <v>14.7</v>
      </c>
      <c r="BP49">
        <v>2</v>
      </c>
      <c r="BQ49" s="1">
        <v>19.579999999999998</v>
      </c>
      <c r="BR49" s="1">
        <v>18.13</v>
      </c>
      <c r="BZ49">
        <v>1</v>
      </c>
      <c r="CA49">
        <v>6</v>
      </c>
      <c r="CB49" s="1">
        <v>74.569999999999993</v>
      </c>
      <c r="CG49">
        <v>48</v>
      </c>
      <c r="CH49">
        <v>48</v>
      </c>
    </row>
    <row r="50" spans="1:86" x14ac:dyDescent="0.35">
      <c r="A50">
        <v>357150</v>
      </c>
      <c r="B50" s="2">
        <v>44200</v>
      </c>
      <c r="C50" s="2">
        <v>44200</v>
      </c>
      <c r="D50">
        <v>131</v>
      </c>
      <c r="E50">
        <v>501.09</v>
      </c>
      <c r="F50">
        <v>1497.78</v>
      </c>
      <c r="G50">
        <v>385.99</v>
      </c>
      <c r="H50">
        <v>394.02</v>
      </c>
      <c r="I50">
        <v>51.79</v>
      </c>
      <c r="J50">
        <v>2459.8000000000002</v>
      </c>
      <c r="K50">
        <v>157.37</v>
      </c>
      <c r="L50">
        <v>446</v>
      </c>
      <c r="M50">
        <v>160.06</v>
      </c>
      <c r="N50">
        <v>2563.13</v>
      </c>
      <c r="O50">
        <v>1</v>
      </c>
      <c r="P50">
        <v>1.99</v>
      </c>
      <c r="R50">
        <v>106.02</v>
      </c>
      <c r="V50">
        <v>4</v>
      </c>
      <c r="W50">
        <v>20</v>
      </c>
      <c r="X50">
        <v>0</v>
      </c>
      <c r="Y50">
        <v>0</v>
      </c>
      <c r="Z50">
        <v>58</v>
      </c>
      <c r="AA50">
        <v>139.12</v>
      </c>
      <c r="AB50">
        <v>5</v>
      </c>
      <c r="AC50">
        <v>15.49</v>
      </c>
      <c r="AD50">
        <v>39</v>
      </c>
      <c r="AE50">
        <v>45.56</v>
      </c>
      <c r="AH50">
        <v>0</v>
      </c>
      <c r="AJ50">
        <v>209.54</v>
      </c>
      <c r="AN50">
        <v>70</v>
      </c>
      <c r="AO50">
        <v>0</v>
      </c>
      <c r="AP50">
        <v>-610.89</v>
      </c>
      <c r="AQ50">
        <v>76</v>
      </c>
      <c r="AR50">
        <v>555.45000000000005</v>
      </c>
      <c r="AS50">
        <v>160</v>
      </c>
      <c r="AT50">
        <v>1136.31</v>
      </c>
      <c r="AU50">
        <v>13</v>
      </c>
      <c r="AV50">
        <v>81.319999999999993</v>
      </c>
      <c r="AW50">
        <v>2</v>
      </c>
      <c r="AX50">
        <v>11.73</v>
      </c>
      <c r="AY50">
        <v>74</v>
      </c>
      <c r="AZ50">
        <v>381.01</v>
      </c>
      <c r="BS50">
        <v>2617.17</v>
      </c>
      <c r="BV50">
        <v>19.989999999999782</v>
      </c>
      <c r="BW50">
        <v>19.989999999999998</v>
      </c>
      <c r="BZ50">
        <v>1</v>
      </c>
      <c r="CG50">
        <v>49</v>
      </c>
      <c r="CH50">
        <v>49</v>
      </c>
    </row>
    <row r="51" spans="1:86" x14ac:dyDescent="0.35">
      <c r="A51">
        <v>359606</v>
      </c>
      <c r="B51" s="2">
        <v>44200</v>
      </c>
      <c r="C51" s="2">
        <v>44200</v>
      </c>
      <c r="D51">
        <v>33</v>
      </c>
      <c r="E51">
        <v>96.77</v>
      </c>
      <c r="F51">
        <v>437.52</v>
      </c>
      <c r="G51">
        <v>127.77</v>
      </c>
      <c r="H51">
        <v>219.91</v>
      </c>
      <c r="I51">
        <v>36.14</v>
      </c>
      <c r="J51">
        <v>811.13</v>
      </c>
      <c r="K51">
        <v>53.570000000000007</v>
      </c>
      <c r="L51">
        <v>177</v>
      </c>
      <c r="M51">
        <v>53.570000000000007</v>
      </c>
      <c r="N51">
        <v>887.11</v>
      </c>
      <c r="O51">
        <v>0</v>
      </c>
      <c r="P51">
        <v>0</v>
      </c>
      <c r="R51">
        <v>75.97999999999999</v>
      </c>
      <c r="V51">
        <v>0</v>
      </c>
      <c r="W51">
        <v>0</v>
      </c>
      <c r="X51">
        <v>0</v>
      </c>
      <c r="Y51">
        <v>0</v>
      </c>
      <c r="Z51">
        <v>14</v>
      </c>
      <c r="AA51">
        <v>29.18</v>
      </c>
      <c r="AB51">
        <v>2</v>
      </c>
      <c r="AC51">
        <v>2.59</v>
      </c>
      <c r="AD51">
        <v>0</v>
      </c>
      <c r="AE51">
        <v>0</v>
      </c>
      <c r="AH51">
        <v>0</v>
      </c>
      <c r="AJ51">
        <v>76.89</v>
      </c>
      <c r="AN51">
        <v>361</v>
      </c>
      <c r="AO51">
        <v>0</v>
      </c>
      <c r="AP51">
        <v>176.23</v>
      </c>
      <c r="AQ51">
        <v>16</v>
      </c>
      <c r="AR51">
        <v>91.16</v>
      </c>
      <c r="AS51">
        <v>86</v>
      </c>
      <c r="AT51">
        <v>480.42</v>
      </c>
      <c r="AU51">
        <v>9</v>
      </c>
      <c r="AV51">
        <v>56.67</v>
      </c>
      <c r="AW51">
        <v>2</v>
      </c>
      <c r="AX51">
        <v>18.25</v>
      </c>
      <c r="AY51">
        <v>20</v>
      </c>
      <c r="AZ51">
        <v>86.84</v>
      </c>
      <c r="BS51">
        <v>858.22</v>
      </c>
      <c r="BV51">
        <v>48.340000000000032</v>
      </c>
      <c r="BW51">
        <v>41.28</v>
      </c>
      <c r="BZ51">
        <v>1</v>
      </c>
      <c r="CA51">
        <v>1</v>
      </c>
      <c r="CB51">
        <v>16.420000000000002</v>
      </c>
      <c r="CG51">
        <v>50</v>
      </c>
      <c r="CH51">
        <v>50</v>
      </c>
    </row>
    <row r="52" spans="1:86" x14ac:dyDescent="0.35">
      <c r="A52">
        <v>358682</v>
      </c>
      <c r="B52" s="2">
        <v>44200</v>
      </c>
      <c r="C52" s="2">
        <v>44200</v>
      </c>
      <c r="D52">
        <v>68</v>
      </c>
      <c r="E52">
        <v>218.72</v>
      </c>
      <c r="F52">
        <v>819.72000000000014</v>
      </c>
      <c r="G52">
        <v>155.6</v>
      </c>
      <c r="H52">
        <v>537.32000000000005</v>
      </c>
      <c r="I52">
        <v>50</v>
      </c>
      <c r="J52">
        <v>1642.3700000000001</v>
      </c>
      <c r="K52">
        <v>143.61000000000001</v>
      </c>
      <c r="L52">
        <v>317</v>
      </c>
      <c r="M52">
        <v>152.49</v>
      </c>
      <c r="N52">
        <v>1747.6000000000001</v>
      </c>
      <c r="O52">
        <v>0</v>
      </c>
      <c r="P52">
        <v>0</v>
      </c>
      <c r="R52">
        <v>114.11</v>
      </c>
      <c r="V52">
        <v>0</v>
      </c>
      <c r="W52">
        <v>0</v>
      </c>
      <c r="X52">
        <v>0</v>
      </c>
      <c r="Y52">
        <v>0</v>
      </c>
      <c r="Z52">
        <v>47</v>
      </c>
      <c r="AA52">
        <v>136.61000000000001</v>
      </c>
      <c r="AB52">
        <v>16</v>
      </c>
      <c r="AC52">
        <v>204.25</v>
      </c>
      <c r="AD52">
        <v>14</v>
      </c>
      <c r="AE52">
        <v>20.05</v>
      </c>
      <c r="AH52">
        <v>0</v>
      </c>
      <c r="AJ52">
        <v>157.08000000000001</v>
      </c>
      <c r="AN52">
        <v>427.17</v>
      </c>
      <c r="AO52">
        <v>0</v>
      </c>
      <c r="AP52">
        <v>2.1500000000000341</v>
      </c>
      <c r="AQ52">
        <v>32</v>
      </c>
      <c r="AR52">
        <v>243.06</v>
      </c>
      <c r="AS52">
        <v>121</v>
      </c>
      <c r="AT52">
        <v>784.3</v>
      </c>
      <c r="AU52">
        <v>22</v>
      </c>
      <c r="AV52">
        <v>141.04</v>
      </c>
      <c r="AW52">
        <v>8</v>
      </c>
      <c r="AX52">
        <v>58.83</v>
      </c>
      <c r="AY52">
        <v>39</v>
      </c>
      <c r="AZ52">
        <v>182.95</v>
      </c>
      <c r="BM52">
        <v>4</v>
      </c>
      <c r="BN52">
        <v>24.31</v>
      </c>
      <c r="BP52">
        <v>5</v>
      </c>
      <c r="BQ52">
        <v>64.56</v>
      </c>
      <c r="BR52">
        <v>59.29</v>
      </c>
      <c r="BS52">
        <v>1785.98</v>
      </c>
      <c r="BV52">
        <v>0</v>
      </c>
      <c r="BW52">
        <v>0</v>
      </c>
      <c r="BZ52">
        <v>1</v>
      </c>
      <c r="CA52">
        <v>1</v>
      </c>
      <c r="CB52">
        <v>18.989999999999998</v>
      </c>
      <c r="CG52">
        <v>51</v>
      </c>
      <c r="CH52">
        <v>51</v>
      </c>
    </row>
    <row r="53" spans="1:86" x14ac:dyDescent="0.35">
      <c r="A53">
        <v>350432</v>
      </c>
      <c r="B53" s="2">
        <v>44201</v>
      </c>
      <c r="C53" s="2">
        <v>44201</v>
      </c>
      <c r="D53">
        <v>150</v>
      </c>
      <c r="E53" s="1">
        <v>494.41</v>
      </c>
      <c r="F53" s="1">
        <v>1991.41</v>
      </c>
      <c r="G53" s="1">
        <v>483.5</v>
      </c>
      <c r="H53" s="1">
        <v>879.11</v>
      </c>
      <c r="I53" s="1">
        <v>116.93</v>
      </c>
      <c r="J53" s="1">
        <v>3753.33</v>
      </c>
      <c r="K53" s="1">
        <v>452.31</v>
      </c>
      <c r="L53">
        <v>745</v>
      </c>
      <c r="M53" s="1">
        <v>463.56</v>
      </c>
      <c r="N53" s="1">
        <v>3888.15</v>
      </c>
      <c r="O53">
        <v>3</v>
      </c>
      <c r="P53" s="1">
        <v>24.13</v>
      </c>
      <c r="Q53">
        <v>18</v>
      </c>
      <c r="R53" s="1">
        <v>7.93</v>
      </c>
      <c r="S53">
        <v>32</v>
      </c>
      <c r="T53" s="1">
        <v>58.37</v>
      </c>
      <c r="U53" s="1">
        <v>55.64</v>
      </c>
      <c r="V53">
        <v>1</v>
      </c>
      <c r="W53" s="1">
        <v>30</v>
      </c>
      <c r="X53">
        <v>12</v>
      </c>
      <c r="Y53" s="1">
        <v>0</v>
      </c>
      <c r="Z53">
        <v>154</v>
      </c>
      <c r="AA53" s="1">
        <v>589.5</v>
      </c>
      <c r="AB53">
        <v>16</v>
      </c>
      <c r="AC53" s="1">
        <v>35.49</v>
      </c>
      <c r="AD53">
        <v>9</v>
      </c>
      <c r="AE53" s="1">
        <v>30.95</v>
      </c>
      <c r="AF53" s="1">
        <v>0</v>
      </c>
      <c r="AG53" s="1">
        <v>0</v>
      </c>
      <c r="AH53" s="1">
        <v>0</v>
      </c>
      <c r="AI53" s="1">
        <v>0</v>
      </c>
      <c r="AJ53" s="1">
        <v>374.11</v>
      </c>
      <c r="AL53" s="1">
        <v>4205.6400000000003</v>
      </c>
      <c r="AM53" s="1">
        <v>0</v>
      </c>
      <c r="AN53" s="1">
        <v>822</v>
      </c>
      <c r="AO53" s="1">
        <v>0</v>
      </c>
      <c r="AP53" s="1">
        <v>13.34</v>
      </c>
      <c r="AQ53">
        <v>84</v>
      </c>
      <c r="AR53" s="1">
        <v>535.98</v>
      </c>
      <c r="AS53">
        <v>307</v>
      </c>
      <c r="AT53" s="1">
        <v>1900.45</v>
      </c>
      <c r="AU53">
        <v>37</v>
      </c>
      <c r="AV53" s="1">
        <v>280.5</v>
      </c>
      <c r="AW53">
        <v>6</v>
      </c>
      <c r="AX53" s="1">
        <v>34.58</v>
      </c>
      <c r="AY53">
        <v>85</v>
      </c>
      <c r="AZ53" s="1">
        <v>362.86</v>
      </c>
      <c r="BA53">
        <v>2</v>
      </c>
      <c r="BB53" s="1">
        <v>57.68</v>
      </c>
      <c r="BC53">
        <v>2</v>
      </c>
      <c r="BD53" s="1">
        <v>20.34</v>
      </c>
      <c r="BE53">
        <v>16</v>
      </c>
      <c r="BF53" s="1">
        <v>89.62</v>
      </c>
      <c r="BG53">
        <v>5</v>
      </c>
      <c r="BH53" s="1">
        <v>25.91</v>
      </c>
      <c r="BI53">
        <v>2</v>
      </c>
      <c r="BJ53" s="1">
        <v>34.92</v>
      </c>
      <c r="BK53">
        <v>7</v>
      </c>
      <c r="BL53" s="1">
        <v>71</v>
      </c>
      <c r="BP53">
        <v>24</v>
      </c>
      <c r="BQ53" s="1">
        <v>311.75</v>
      </c>
      <c r="BR53" s="1">
        <v>278.10000000000002</v>
      </c>
      <c r="BZ53">
        <v>1</v>
      </c>
      <c r="CA53">
        <v>6</v>
      </c>
      <c r="CB53" s="1">
        <v>75.5</v>
      </c>
      <c r="CG53">
        <v>52</v>
      </c>
      <c r="CH53">
        <v>52</v>
      </c>
    </row>
    <row r="54" spans="1:86" x14ac:dyDescent="0.35">
      <c r="A54">
        <v>350437</v>
      </c>
      <c r="B54" s="2">
        <v>44201</v>
      </c>
      <c r="C54" s="2">
        <v>44201</v>
      </c>
      <c r="D54">
        <v>94</v>
      </c>
      <c r="E54" s="1">
        <v>277.18</v>
      </c>
      <c r="F54" s="1">
        <v>1282.5999999999999</v>
      </c>
      <c r="G54" s="1">
        <v>439.85</v>
      </c>
      <c r="H54" s="1">
        <v>537.61</v>
      </c>
      <c r="I54" s="1">
        <v>108.16</v>
      </c>
      <c r="J54" s="1">
        <v>2538.69</v>
      </c>
      <c r="K54" s="1">
        <v>0</v>
      </c>
      <c r="L54">
        <v>468</v>
      </c>
      <c r="M54" s="1">
        <v>0</v>
      </c>
      <c r="N54" s="1">
        <v>2596.98</v>
      </c>
      <c r="O54">
        <v>0</v>
      </c>
      <c r="P54" s="1">
        <v>0</v>
      </c>
      <c r="Q54">
        <v>7</v>
      </c>
      <c r="R54" s="1">
        <v>1.4</v>
      </c>
      <c r="S54">
        <v>16</v>
      </c>
      <c r="T54" s="1">
        <v>34.83</v>
      </c>
      <c r="U54" s="1">
        <v>22.06</v>
      </c>
      <c r="V54">
        <v>1</v>
      </c>
      <c r="W54" s="1">
        <v>10</v>
      </c>
      <c r="X54">
        <v>19</v>
      </c>
      <c r="Y54" s="1">
        <v>0</v>
      </c>
      <c r="Z54">
        <v>64</v>
      </c>
      <c r="AA54" s="1">
        <v>161.61000000000001</v>
      </c>
      <c r="AB54">
        <v>10</v>
      </c>
      <c r="AC54" s="1">
        <v>21.53</v>
      </c>
      <c r="AD54">
        <v>4</v>
      </c>
      <c r="AE54" s="1">
        <v>6.39</v>
      </c>
      <c r="AF54" s="1">
        <v>1</v>
      </c>
      <c r="AG54" s="1">
        <v>1</v>
      </c>
      <c r="AH54" s="1">
        <v>0</v>
      </c>
      <c r="AI54" s="1">
        <v>0</v>
      </c>
      <c r="AJ54" s="1">
        <v>225.82</v>
      </c>
      <c r="AL54" s="1">
        <v>2538.69</v>
      </c>
      <c r="AM54" s="1">
        <v>1</v>
      </c>
      <c r="AN54" s="1">
        <v>440</v>
      </c>
      <c r="AO54" s="1">
        <v>0</v>
      </c>
      <c r="AP54" s="1">
        <v>9.56</v>
      </c>
      <c r="AQ54">
        <v>47</v>
      </c>
      <c r="AR54" s="1">
        <v>292.25</v>
      </c>
      <c r="AS54">
        <v>198</v>
      </c>
      <c r="AT54" s="1">
        <v>1261.51</v>
      </c>
      <c r="AU54">
        <v>44</v>
      </c>
      <c r="AV54" s="1">
        <v>283.18</v>
      </c>
      <c r="AW54">
        <v>5</v>
      </c>
      <c r="AX54" s="1">
        <v>39.61</v>
      </c>
      <c r="AY54">
        <v>58</v>
      </c>
      <c r="AZ54" s="1">
        <v>229.71</v>
      </c>
      <c r="BC54">
        <v>2</v>
      </c>
      <c r="BD54" s="1">
        <v>10.76</v>
      </c>
      <c r="BE54">
        <v>9</v>
      </c>
      <c r="BF54" s="1">
        <v>51.67</v>
      </c>
      <c r="BG54">
        <v>1</v>
      </c>
      <c r="BH54" s="1">
        <v>21.59</v>
      </c>
      <c r="BK54">
        <v>2</v>
      </c>
      <c r="BL54" s="1">
        <v>12.87</v>
      </c>
      <c r="BM54">
        <v>1</v>
      </c>
      <c r="BN54" s="1">
        <v>36.46</v>
      </c>
      <c r="BO54" s="1">
        <v>33.479999999999997</v>
      </c>
      <c r="BP54">
        <v>2</v>
      </c>
      <c r="BQ54" s="1">
        <v>24.32</v>
      </c>
      <c r="BR54" s="1">
        <v>22.33</v>
      </c>
      <c r="BZ54">
        <v>1</v>
      </c>
      <c r="CA54">
        <v>7</v>
      </c>
      <c r="CB54" s="1">
        <v>81.14</v>
      </c>
      <c r="CG54">
        <v>53</v>
      </c>
      <c r="CH54">
        <v>53</v>
      </c>
    </row>
    <row r="55" spans="1:86" x14ac:dyDescent="0.35">
      <c r="A55">
        <v>351323</v>
      </c>
      <c r="B55" s="2">
        <v>44201</v>
      </c>
      <c r="C55" s="2">
        <v>44201</v>
      </c>
      <c r="D55">
        <v>133</v>
      </c>
      <c r="E55" s="1">
        <v>461.46</v>
      </c>
      <c r="F55" s="1">
        <v>1718.32</v>
      </c>
      <c r="G55" s="1">
        <v>456.95</v>
      </c>
      <c r="H55" s="1">
        <v>664.44</v>
      </c>
      <c r="I55" s="1">
        <v>131.30000000000001</v>
      </c>
      <c r="J55" s="1">
        <v>3152.48</v>
      </c>
      <c r="K55" s="1">
        <v>381.79</v>
      </c>
      <c r="L55">
        <v>624</v>
      </c>
      <c r="M55" s="1">
        <v>385.87</v>
      </c>
      <c r="N55" s="1">
        <v>3310.32</v>
      </c>
      <c r="O55">
        <v>0</v>
      </c>
      <c r="P55" s="1">
        <v>0</v>
      </c>
      <c r="Q55">
        <v>6</v>
      </c>
      <c r="R55" s="1">
        <v>1.1200000000000001</v>
      </c>
      <c r="S55">
        <v>57</v>
      </c>
      <c r="T55" s="1">
        <v>103.87</v>
      </c>
      <c r="U55" s="1">
        <v>56.93</v>
      </c>
      <c r="V55">
        <v>1</v>
      </c>
      <c r="W55" s="1">
        <v>25</v>
      </c>
      <c r="X55">
        <v>14</v>
      </c>
      <c r="Y55" s="1">
        <v>0</v>
      </c>
      <c r="Z55">
        <v>108</v>
      </c>
      <c r="AA55" s="1">
        <v>713.38</v>
      </c>
      <c r="AB55">
        <v>32</v>
      </c>
      <c r="AC55" s="1">
        <v>67.2</v>
      </c>
      <c r="AD55">
        <v>5</v>
      </c>
      <c r="AE55" s="1">
        <v>9.2899999999999991</v>
      </c>
      <c r="AF55" s="1">
        <v>0</v>
      </c>
      <c r="AG55" s="1">
        <v>0</v>
      </c>
      <c r="AH55" s="1">
        <v>0</v>
      </c>
      <c r="AI55" s="1">
        <v>0</v>
      </c>
      <c r="AJ55" s="1">
        <v>211.93</v>
      </c>
      <c r="AL55" s="1">
        <v>3534.27</v>
      </c>
      <c r="AM55" s="1">
        <v>0</v>
      </c>
      <c r="AN55" s="1">
        <v>806</v>
      </c>
      <c r="AO55" s="1">
        <v>0</v>
      </c>
      <c r="AP55" s="1">
        <v>-10.78</v>
      </c>
      <c r="AQ55">
        <v>109</v>
      </c>
      <c r="AR55" s="1">
        <v>733.03</v>
      </c>
      <c r="AS55">
        <v>244</v>
      </c>
      <c r="AT55" s="1">
        <v>1622.69</v>
      </c>
      <c r="AU55">
        <v>12</v>
      </c>
      <c r="AV55" s="1">
        <v>59.24</v>
      </c>
      <c r="AW55">
        <v>7</v>
      </c>
      <c r="AX55" s="1">
        <v>32.99</v>
      </c>
      <c r="AY55">
        <v>107</v>
      </c>
      <c r="AZ55" s="1">
        <v>406.28</v>
      </c>
      <c r="BC55">
        <v>1</v>
      </c>
      <c r="BD55" s="1">
        <v>5.82</v>
      </c>
      <c r="BE55">
        <v>8</v>
      </c>
      <c r="BF55" s="1">
        <v>39.270000000000003</v>
      </c>
      <c r="BK55">
        <v>4</v>
      </c>
      <c r="BL55" s="1">
        <v>16.420000000000002</v>
      </c>
      <c r="BM55">
        <v>1</v>
      </c>
      <c r="BN55" s="1">
        <v>15.85</v>
      </c>
      <c r="BO55" s="1">
        <v>14.95</v>
      </c>
      <c r="BP55">
        <v>2</v>
      </c>
      <c r="BQ55" s="1">
        <v>22.83</v>
      </c>
      <c r="BR55" s="1">
        <v>21.54</v>
      </c>
      <c r="BZ55">
        <v>1</v>
      </c>
      <c r="CG55">
        <v>54</v>
      </c>
      <c r="CH55">
        <v>54</v>
      </c>
    </row>
    <row r="56" spans="1:86" x14ac:dyDescent="0.35">
      <c r="A56">
        <v>353927</v>
      </c>
      <c r="B56" s="2">
        <v>44201</v>
      </c>
      <c r="C56" s="2">
        <v>44201</v>
      </c>
      <c r="D56">
        <v>154</v>
      </c>
      <c r="E56" s="1">
        <v>510.83</v>
      </c>
      <c r="F56" s="1">
        <v>1662.16</v>
      </c>
      <c r="G56" s="1">
        <v>526.03</v>
      </c>
      <c r="H56" s="1">
        <v>693.71</v>
      </c>
      <c r="I56" s="1">
        <v>132.63</v>
      </c>
      <c r="J56" s="1">
        <v>3195.72</v>
      </c>
      <c r="K56" s="1">
        <v>0</v>
      </c>
      <c r="L56">
        <v>581</v>
      </c>
      <c r="M56" s="1">
        <v>0</v>
      </c>
      <c r="N56" s="1">
        <v>3335.76</v>
      </c>
      <c r="O56">
        <v>1</v>
      </c>
      <c r="P56" s="1">
        <v>2</v>
      </c>
      <c r="Q56">
        <v>10</v>
      </c>
      <c r="R56" s="1">
        <v>7.5</v>
      </c>
      <c r="S56">
        <v>48</v>
      </c>
      <c r="T56" s="1">
        <v>67.14</v>
      </c>
      <c r="U56" s="1">
        <v>63.4</v>
      </c>
      <c r="V56">
        <v>0</v>
      </c>
      <c r="W56" s="1">
        <v>0</v>
      </c>
      <c r="X56">
        <v>9</v>
      </c>
      <c r="Y56" s="1">
        <v>0</v>
      </c>
      <c r="Z56">
        <v>96</v>
      </c>
      <c r="AA56" s="1">
        <v>371.33</v>
      </c>
      <c r="AB56">
        <v>16</v>
      </c>
      <c r="AC56" s="1">
        <v>39.450000000000003</v>
      </c>
      <c r="AD56">
        <v>5</v>
      </c>
      <c r="AE56" s="1">
        <v>29.04</v>
      </c>
      <c r="AF56" s="1">
        <v>0</v>
      </c>
      <c r="AG56" s="1">
        <v>0</v>
      </c>
      <c r="AH56" s="1">
        <v>0</v>
      </c>
      <c r="AI56" s="1">
        <v>0</v>
      </c>
      <c r="AJ56" s="1">
        <v>191.51</v>
      </c>
      <c r="AL56" s="1">
        <v>3195.72</v>
      </c>
      <c r="AM56" s="1">
        <v>0</v>
      </c>
      <c r="AN56" s="1">
        <v>810</v>
      </c>
      <c r="AO56" s="1">
        <v>0</v>
      </c>
      <c r="AP56" s="1">
        <v>-5.88</v>
      </c>
      <c r="AQ56">
        <v>85</v>
      </c>
      <c r="AR56" s="1">
        <v>457.73</v>
      </c>
      <c r="AS56">
        <v>237</v>
      </c>
      <c r="AT56" s="1">
        <v>1549.26</v>
      </c>
      <c r="AU56">
        <v>6</v>
      </c>
      <c r="AV56" s="1">
        <v>20.68</v>
      </c>
      <c r="AW56">
        <v>2</v>
      </c>
      <c r="AX56" s="1">
        <v>7.83</v>
      </c>
      <c r="AY56">
        <v>85</v>
      </c>
      <c r="AZ56" s="1">
        <v>302.41000000000003</v>
      </c>
      <c r="BE56">
        <v>14</v>
      </c>
      <c r="BF56" s="1">
        <v>81.7</v>
      </c>
      <c r="BG56">
        <v>1</v>
      </c>
      <c r="BH56" s="1">
        <v>3.91</v>
      </c>
      <c r="BK56">
        <v>5</v>
      </c>
      <c r="BL56" s="1">
        <v>26.21</v>
      </c>
      <c r="BP56">
        <v>1</v>
      </c>
      <c r="BQ56" s="1">
        <v>26.61</v>
      </c>
      <c r="BR56" s="1">
        <v>25.1</v>
      </c>
      <c r="BZ56">
        <v>1</v>
      </c>
      <c r="CA56">
        <v>7</v>
      </c>
      <c r="CB56" s="1">
        <v>95.01</v>
      </c>
      <c r="CG56">
        <v>55</v>
      </c>
      <c r="CH56">
        <v>55</v>
      </c>
    </row>
    <row r="57" spans="1:86" x14ac:dyDescent="0.35">
      <c r="A57">
        <v>354030</v>
      </c>
      <c r="B57" s="2">
        <v>44201</v>
      </c>
      <c r="C57" s="2">
        <v>44201</v>
      </c>
      <c r="D57">
        <v>146</v>
      </c>
      <c r="E57" s="1">
        <v>491.02</v>
      </c>
      <c r="F57" s="1">
        <v>1531.78</v>
      </c>
      <c r="G57" s="1">
        <v>596.28</v>
      </c>
      <c r="H57" s="1">
        <v>620.91</v>
      </c>
      <c r="I57" s="1">
        <v>141.12</v>
      </c>
      <c r="J57" s="1">
        <v>3097.63</v>
      </c>
      <c r="K57" s="1">
        <v>82.48</v>
      </c>
      <c r="L57">
        <v>527</v>
      </c>
      <c r="M57" s="1">
        <v>82.48</v>
      </c>
      <c r="N57" s="1">
        <v>3259.95</v>
      </c>
      <c r="O57">
        <v>1</v>
      </c>
      <c r="P57" s="1">
        <v>7.58</v>
      </c>
      <c r="Q57">
        <v>4</v>
      </c>
      <c r="R57" s="1">
        <v>8.6300000000000008</v>
      </c>
      <c r="S57">
        <v>22</v>
      </c>
      <c r="T57" s="1">
        <v>52.29</v>
      </c>
      <c r="U57" s="1">
        <v>93.82</v>
      </c>
      <c r="V57">
        <v>3</v>
      </c>
      <c r="W57" s="1">
        <v>60</v>
      </c>
      <c r="X57">
        <v>8</v>
      </c>
      <c r="Y57" s="1">
        <v>0</v>
      </c>
      <c r="Z57">
        <v>94</v>
      </c>
      <c r="AA57" s="1">
        <v>281.73</v>
      </c>
      <c r="AB57">
        <v>8</v>
      </c>
      <c r="AC57" s="1">
        <v>30.78</v>
      </c>
      <c r="AD57">
        <v>1</v>
      </c>
      <c r="AE57" s="1">
        <v>2.75</v>
      </c>
      <c r="AF57" s="1">
        <v>0</v>
      </c>
      <c r="AG57" s="1">
        <v>0</v>
      </c>
      <c r="AH57" s="1">
        <v>0</v>
      </c>
      <c r="AI57" s="1">
        <v>0</v>
      </c>
      <c r="AJ57" s="1">
        <v>190.69</v>
      </c>
      <c r="AL57" s="1">
        <v>3180.11</v>
      </c>
      <c r="AM57" s="1">
        <v>0</v>
      </c>
      <c r="AN57" s="1">
        <v>408</v>
      </c>
      <c r="AO57" s="1">
        <v>62.34</v>
      </c>
      <c r="AP57" s="1">
        <v>6.26</v>
      </c>
      <c r="AQ57">
        <v>77</v>
      </c>
      <c r="AR57" s="1">
        <v>475.01</v>
      </c>
      <c r="AS57">
        <v>219</v>
      </c>
      <c r="AT57" s="1">
        <v>1593.9</v>
      </c>
      <c r="AU57">
        <v>12</v>
      </c>
      <c r="AV57" s="1">
        <v>83.75</v>
      </c>
      <c r="AW57">
        <v>6</v>
      </c>
      <c r="AX57" s="1">
        <v>34.15</v>
      </c>
      <c r="AY57">
        <v>115</v>
      </c>
      <c r="AZ57" s="1">
        <v>547.1</v>
      </c>
      <c r="BA57">
        <v>1</v>
      </c>
      <c r="BB57" s="1">
        <v>8.0299999999999994</v>
      </c>
      <c r="BE57">
        <v>20</v>
      </c>
      <c r="BF57" s="1">
        <v>116.45</v>
      </c>
      <c r="BG57">
        <v>2</v>
      </c>
      <c r="BH57" s="1">
        <v>26.33</v>
      </c>
      <c r="BK57">
        <v>9</v>
      </c>
      <c r="BL57" s="1">
        <v>64.19</v>
      </c>
      <c r="BZ57">
        <v>1</v>
      </c>
      <c r="CA57">
        <v>2</v>
      </c>
      <c r="CB57" s="1">
        <v>17.809999999999999</v>
      </c>
      <c r="CG57">
        <v>56</v>
      </c>
      <c r="CH57">
        <v>56</v>
      </c>
    </row>
    <row r="58" spans="1:86" x14ac:dyDescent="0.35">
      <c r="A58">
        <v>355439</v>
      </c>
      <c r="B58" s="2">
        <v>44201</v>
      </c>
      <c r="C58" s="2">
        <v>44201</v>
      </c>
      <c r="D58">
        <v>189</v>
      </c>
      <c r="E58" s="1">
        <v>594.67999999999995</v>
      </c>
      <c r="F58" s="1">
        <v>1882.8</v>
      </c>
      <c r="G58" s="1">
        <v>699.26</v>
      </c>
      <c r="H58" s="1">
        <v>721.72</v>
      </c>
      <c r="I58" s="1">
        <v>95.13</v>
      </c>
      <c r="J58" s="1">
        <v>3625.55</v>
      </c>
      <c r="K58" s="1">
        <v>0</v>
      </c>
      <c r="L58">
        <v>686</v>
      </c>
      <c r="M58" s="1">
        <v>0</v>
      </c>
      <c r="N58" s="1">
        <v>3754.11</v>
      </c>
      <c r="O58">
        <v>1</v>
      </c>
      <c r="P58" s="1">
        <v>4.9800000000000004</v>
      </c>
      <c r="Q58">
        <v>6</v>
      </c>
      <c r="R58" s="1">
        <v>3.07</v>
      </c>
      <c r="S58">
        <v>36</v>
      </c>
      <c r="T58" s="1">
        <v>84.25</v>
      </c>
      <c r="U58" s="1">
        <v>36.26</v>
      </c>
      <c r="V58">
        <v>2</v>
      </c>
      <c r="W58" s="1">
        <v>16</v>
      </c>
      <c r="X58">
        <v>22</v>
      </c>
      <c r="Y58" s="1">
        <v>0</v>
      </c>
      <c r="Z58">
        <v>85</v>
      </c>
      <c r="AA58" s="1">
        <v>243.56</v>
      </c>
      <c r="AB58">
        <v>17</v>
      </c>
      <c r="AC58" s="1">
        <v>40</v>
      </c>
      <c r="AD58">
        <v>6</v>
      </c>
      <c r="AE58" s="1">
        <v>22.91</v>
      </c>
      <c r="AF58" s="1">
        <v>0</v>
      </c>
      <c r="AG58" s="1">
        <v>0</v>
      </c>
      <c r="AH58" s="1">
        <v>0</v>
      </c>
      <c r="AI58" s="1">
        <v>0</v>
      </c>
      <c r="AJ58" s="1">
        <v>290.29000000000002</v>
      </c>
      <c r="AL58" s="1">
        <v>3625.55</v>
      </c>
      <c r="AM58" s="1">
        <v>0</v>
      </c>
      <c r="AN58" s="1">
        <v>705</v>
      </c>
      <c r="AO58" s="1">
        <v>0</v>
      </c>
      <c r="AP58" s="1">
        <v>2.64</v>
      </c>
      <c r="AQ58">
        <v>73</v>
      </c>
      <c r="AR58" s="1">
        <v>452.2</v>
      </c>
      <c r="AS58">
        <v>284</v>
      </c>
      <c r="AT58" s="1">
        <v>1732.59</v>
      </c>
      <c r="AU58">
        <v>26</v>
      </c>
      <c r="AV58" s="1">
        <v>159.38999999999999</v>
      </c>
      <c r="AW58">
        <v>7</v>
      </c>
      <c r="AX58" s="1">
        <v>34.49</v>
      </c>
      <c r="AY58">
        <v>106</v>
      </c>
      <c r="AZ58" s="1">
        <v>447.49</v>
      </c>
      <c r="BA58">
        <v>2</v>
      </c>
      <c r="BB58" s="1">
        <v>13.33</v>
      </c>
      <c r="BC58">
        <v>1</v>
      </c>
      <c r="BD58" s="1">
        <v>6.24</v>
      </c>
      <c r="BE58">
        <v>15</v>
      </c>
      <c r="BF58" s="1">
        <v>94.19</v>
      </c>
      <c r="BG58">
        <v>4</v>
      </c>
      <c r="BH58" s="1">
        <v>22.1</v>
      </c>
      <c r="BK58">
        <v>10</v>
      </c>
      <c r="BL58" s="1">
        <v>112.35</v>
      </c>
      <c r="BM58">
        <v>4</v>
      </c>
      <c r="BN58" s="1">
        <v>20.34</v>
      </c>
      <c r="BO58" s="1">
        <v>18.829999999999998</v>
      </c>
      <c r="BP58">
        <v>3</v>
      </c>
      <c r="BQ58" s="1">
        <v>7.3</v>
      </c>
      <c r="BR58" s="1">
        <v>6.76</v>
      </c>
      <c r="BZ58">
        <v>1</v>
      </c>
      <c r="CA58">
        <v>7</v>
      </c>
      <c r="CB58" s="1">
        <v>127.47</v>
      </c>
      <c r="CG58">
        <v>57</v>
      </c>
      <c r="CH58">
        <v>57</v>
      </c>
    </row>
    <row r="59" spans="1:86" x14ac:dyDescent="0.35">
      <c r="A59">
        <v>358682</v>
      </c>
      <c r="B59" s="2">
        <v>44201</v>
      </c>
      <c r="C59" s="2">
        <v>44201</v>
      </c>
      <c r="D59">
        <v>66</v>
      </c>
      <c r="E59">
        <v>226.74</v>
      </c>
      <c r="F59">
        <v>912.63999999999987</v>
      </c>
      <c r="G59">
        <v>138.77000000000001</v>
      </c>
      <c r="H59">
        <v>561.9</v>
      </c>
      <c r="I59">
        <v>86.54</v>
      </c>
      <c r="J59">
        <v>1746.36</v>
      </c>
      <c r="K59">
        <v>69.97</v>
      </c>
      <c r="L59">
        <v>328</v>
      </c>
      <c r="M59">
        <v>69.97</v>
      </c>
      <c r="N59">
        <v>1834.07</v>
      </c>
      <c r="O59">
        <v>0</v>
      </c>
      <c r="P59">
        <v>0</v>
      </c>
      <c r="R59">
        <v>87.710000000000008</v>
      </c>
      <c r="V59">
        <v>0</v>
      </c>
      <c r="W59">
        <v>0</v>
      </c>
      <c r="X59">
        <v>0</v>
      </c>
      <c r="Y59">
        <v>0</v>
      </c>
      <c r="Z59">
        <v>44</v>
      </c>
      <c r="AA59">
        <v>142.87</v>
      </c>
      <c r="AB59">
        <v>26</v>
      </c>
      <c r="AC59">
        <v>146.19999999999999</v>
      </c>
      <c r="AD59">
        <v>19</v>
      </c>
      <c r="AE59">
        <v>23.74</v>
      </c>
      <c r="AH59">
        <v>0</v>
      </c>
      <c r="AJ59">
        <v>161.56</v>
      </c>
      <c r="AN59">
        <v>406</v>
      </c>
      <c r="AO59">
        <v>66.84</v>
      </c>
      <c r="AP59">
        <v>-2.17999999999995</v>
      </c>
      <c r="AQ59">
        <v>33</v>
      </c>
      <c r="AR59">
        <v>217.1</v>
      </c>
      <c r="AS59">
        <v>140</v>
      </c>
      <c r="AT59">
        <v>827.04</v>
      </c>
      <c r="AU59">
        <v>20</v>
      </c>
      <c r="AV59">
        <v>102.06</v>
      </c>
      <c r="AW59">
        <v>6</v>
      </c>
      <c r="AX59">
        <v>39.11</v>
      </c>
      <c r="AY59">
        <v>58</v>
      </c>
      <c r="AZ59">
        <v>265.7</v>
      </c>
      <c r="BP59">
        <v>2</v>
      </c>
      <c r="BQ59">
        <v>30.18</v>
      </c>
      <c r="BR59">
        <v>15.1</v>
      </c>
      <c r="BS59">
        <v>1816.33</v>
      </c>
      <c r="BV59">
        <v>4.6500000000000909</v>
      </c>
      <c r="BW59">
        <v>4.6500000000000004</v>
      </c>
      <c r="BZ59">
        <v>1</v>
      </c>
      <c r="CA59">
        <v>2</v>
      </c>
      <c r="CB59">
        <v>21.68</v>
      </c>
      <c r="CG59">
        <v>58</v>
      </c>
      <c r="CH59">
        <v>58</v>
      </c>
    </row>
    <row r="60" spans="1:86" x14ac:dyDescent="0.35">
      <c r="A60">
        <v>359606</v>
      </c>
      <c r="B60" s="2">
        <v>44201</v>
      </c>
      <c r="C60" s="2">
        <v>44201</v>
      </c>
      <c r="D60">
        <v>31</v>
      </c>
      <c r="E60">
        <v>113.49000000000001</v>
      </c>
      <c r="F60">
        <v>511.65000000000003</v>
      </c>
      <c r="G60">
        <v>181.6</v>
      </c>
      <c r="H60">
        <v>260.64</v>
      </c>
      <c r="I60">
        <v>30.360000000000003</v>
      </c>
      <c r="J60">
        <v>991.95</v>
      </c>
      <c r="K60">
        <v>40.42</v>
      </c>
      <c r="L60">
        <v>214</v>
      </c>
      <c r="M60">
        <v>40.42</v>
      </c>
      <c r="N60">
        <v>1052.3900000000001</v>
      </c>
      <c r="O60">
        <v>0</v>
      </c>
      <c r="P60">
        <v>0</v>
      </c>
      <c r="R60">
        <v>60.44</v>
      </c>
      <c r="V60">
        <v>0</v>
      </c>
      <c r="W60">
        <v>0</v>
      </c>
      <c r="X60">
        <v>0</v>
      </c>
      <c r="Y60">
        <v>0</v>
      </c>
      <c r="Z60">
        <v>21</v>
      </c>
      <c r="AA60">
        <v>44.89</v>
      </c>
      <c r="AB60">
        <v>3</v>
      </c>
      <c r="AC60">
        <v>6.86</v>
      </c>
      <c r="AD60">
        <v>0</v>
      </c>
      <c r="AE60">
        <v>0</v>
      </c>
      <c r="AH60">
        <v>0</v>
      </c>
      <c r="AJ60">
        <v>91.8</v>
      </c>
      <c r="AN60">
        <v>177</v>
      </c>
      <c r="AO60">
        <v>0</v>
      </c>
      <c r="AP60">
        <v>0.37999999999999545</v>
      </c>
      <c r="AQ60">
        <v>18</v>
      </c>
      <c r="AR60">
        <v>91.98</v>
      </c>
      <c r="AS60">
        <v>102</v>
      </c>
      <c r="AT60">
        <v>544.02</v>
      </c>
      <c r="AU60">
        <v>24</v>
      </c>
      <c r="AV60">
        <v>116.58</v>
      </c>
      <c r="AW60">
        <v>2</v>
      </c>
      <c r="AX60">
        <v>4.2300000000000004</v>
      </c>
      <c r="AY60">
        <v>37</v>
      </c>
      <c r="AZ60">
        <v>167.51</v>
      </c>
      <c r="BS60">
        <v>1032.3699999999999</v>
      </c>
      <c r="BV60">
        <v>49.960000000000036</v>
      </c>
      <c r="BW60">
        <v>49.96</v>
      </c>
      <c r="BZ60">
        <v>1</v>
      </c>
      <c r="CA60">
        <v>2</v>
      </c>
      <c r="CB60">
        <v>23.23</v>
      </c>
      <c r="CG60">
        <v>59</v>
      </c>
      <c r="CH60">
        <v>59</v>
      </c>
    </row>
    <row r="61" spans="1:86" x14ac:dyDescent="0.35">
      <c r="A61">
        <v>357150</v>
      </c>
      <c r="B61" s="2">
        <v>44201</v>
      </c>
      <c r="C61" s="2">
        <v>44201</v>
      </c>
      <c r="D61">
        <v>151</v>
      </c>
      <c r="E61">
        <v>569.49</v>
      </c>
      <c r="F61">
        <v>1653.8500000000001</v>
      </c>
      <c r="G61">
        <v>432.87</v>
      </c>
      <c r="H61">
        <v>429.63</v>
      </c>
      <c r="I61">
        <v>99.300000000000011</v>
      </c>
      <c r="J61">
        <v>2713.5299999999997</v>
      </c>
      <c r="K61">
        <v>155.91999999999999</v>
      </c>
      <c r="L61">
        <v>511</v>
      </c>
      <c r="M61">
        <v>163.1</v>
      </c>
      <c r="N61">
        <v>2836.2699999999995</v>
      </c>
      <c r="O61">
        <v>0</v>
      </c>
      <c r="P61">
        <v>0</v>
      </c>
      <c r="R61">
        <v>129.91999999999999</v>
      </c>
      <c r="V61">
        <v>0</v>
      </c>
      <c r="W61">
        <v>0</v>
      </c>
      <c r="X61">
        <v>0</v>
      </c>
      <c r="Y61">
        <v>0</v>
      </c>
      <c r="Z61">
        <v>45</v>
      </c>
      <c r="AA61">
        <v>106.48</v>
      </c>
      <c r="AB61">
        <v>0</v>
      </c>
      <c r="AC61">
        <v>0</v>
      </c>
      <c r="AD61">
        <v>22</v>
      </c>
      <c r="AE61">
        <v>25.47</v>
      </c>
      <c r="AH61">
        <v>0</v>
      </c>
      <c r="AJ61">
        <v>229.75</v>
      </c>
      <c r="AN61">
        <v>0</v>
      </c>
      <c r="AO61">
        <v>0</v>
      </c>
      <c r="AP61">
        <v>-808.35</v>
      </c>
      <c r="AQ61">
        <v>70</v>
      </c>
      <c r="AR61">
        <v>538.79999999999995</v>
      </c>
      <c r="AS61">
        <v>192</v>
      </c>
      <c r="AT61">
        <v>1170.03</v>
      </c>
      <c r="AU61">
        <v>17</v>
      </c>
      <c r="AV61">
        <v>143.27000000000001</v>
      </c>
      <c r="AW61">
        <v>5</v>
      </c>
      <c r="AX61">
        <v>39.6</v>
      </c>
      <c r="AY61">
        <v>92</v>
      </c>
      <c r="AZ61">
        <v>399.15</v>
      </c>
      <c r="BS61">
        <v>2869.45</v>
      </c>
      <c r="BV61">
        <v>0</v>
      </c>
      <c r="BW61">
        <v>0</v>
      </c>
      <c r="BZ61">
        <v>1</v>
      </c>
      <c r="CG61">
        <v>60</v>
      </c>
      <c r="CH61">
        <v>60</v>
      </c>
    </row>
    <row r="62" spans="1:86" x14ac:dyDescent="0.35">
      <c r="A62">
        <v>350432</v>
      </c>
      <c r="B62" s="2">
        <v>44202</v>
      </c>
      <c r="C62" s="2">
        <v>44202</v>
      </c>
      <c r="D62">
        <v>139</v>
      </c>
      <c r="E62" s="1">
        <v>466.02</v>
      </c>
      <c r="F62" s="1">
        <v>1898.5</v>
      </c>
      <c r="G62" s="1">
        <v>527.30999999999995</v>
      </c>
      <c r="H62" s="1">
        <v>1083.04</v>
      </c>
      <c r="I62" s="1">
        <v>106.69</v>
      </c>
      <c r="J62" s="1">
        <v>3884.13</v>
      </c>
      <c r="K62" s="1">
        <v>507.34</v>
      </c>
      <c r="L62">
        <v>739</v>
      </c>
      <c r="M62" s="1">
        <v>526.88</v>
      </c>
      <c r="N62" s="1">
        <v>4023.7</v>
      </c>
      <c r="O62">
        <v>0</v>
      </c>
      <c r="P62" s="1">
        <v>0</v>
      </c>
      <c r="Q62">
        <v>16</v>
      </c>
      <c r="R62" s="1">
        <v>9.99</v>
      </c>
      <c r="S62">
        <v>40</v>
      </c>
      <c r="T62" s="1">
        <v>85.25</v>
      </c>
      <c r="U62" s="1">
        <v>63.87</v>
      </c>
      <c r="V62">
        <v>0</v>
      </c>
      <c r="W62" s="1">
        <v>0</v>
      </c>
      <c r="X62">
        <v>19</v>
      </c>
      <c r="Y62" s="1">
        <v>0</v>
      </c>
      <c r="Z62">
        <v>119</v>
      </c>
      <c r="AA62" s="1">
        <v>407.64</v>
      </c>
      <c r="AB62">
        <v>27</v>
      </c>
      <c r="AC62" s="1">
        <v>60.95</v>
      </c>
      <c r="AD62">
        <v>4</v>
      </c>
      <c r="AE62" s="1">
        <v>20.84</v>
      </c>
      <c r="AF62" s="1">
        <v>0</v>
      </c>
      <c r="AG62" s="1">
        <v>0</v>
      </c>
      <c r="AH62" s="1">
        <v>0</v>
      </c>
      <c r="AI62" s="1">
        <v>0</v>
      </c>
      <c r="AJ62" s="1">
        <v>390.62</v>
      </c>
      <c r="AL62" s="1">
        <v>4391.47</v>
      </c>
      <c r="AM62" s="1">
        <v>0</v>
      </c>
      <c r="AN62" s="1">
        <v>641</v>
      </c>
      <c r="AO62" s="1">
        <v>201.63</v>
      </c>
      <c r="AP62" s="1">
        <v>-9.9600000000000009</v>
      </c>
      <c r="AQ62">
        <v>101</v>
      </c>
      <c r="AR62" s="1">
        <v>638.49</v>
      </c>
      <c r="AS62">
        <v>304</v>
      </c>
      <c r="AT62" s="1">
        <v>1966.54</v>
      </c>
      <c r="AU62">
        <v>35</v>
      </c>
      <c r="AV62" s="1">
        <v>246.51</v>
      </c>
      <c r="AW62">
        <v>9</v>
      </c>
      <c r="AX62" s="1">
        <v>73.44</v>
      </c>
      <c r="AY62">
        <v>77</v>
      </c>
      <c r="AZ62" s="1">
        <v>374.43</v>
      </c>
      <c r="BA62">
        <v>1</v>
      </c>
      <c r="BB62" s="1">
        <v>2.71</v>
      </c>
      <c r="BC62">
        <v>2</v>
      </c>
      <c r="BD62" s="1">
        <v>19.98</v>
      </c>
      <c r="BE62">
        <v>14</v>
      </c>
      <c r="BF62" s="1">
        <v>124.02</v>
      </c>
      <c r="BG62">
        <v>3</v>
      </c>
      <c r="BH62" s="1">
        <v>10.91</v>
      </c>
      <c r="BK62">
        <v>9</v>
      </c>
      <c r="BL62" s="1">
        <v>55.31</v>
      </c>
      <c r="BP62">
        <v>20</v>
      </c>
      <c r="BQ62" s="1">
        <v>337.58</v>
      </c>
      <c r="BR62" s="1">
        <v>266.16000000000003</v>
      </c>
      <c r="BZ62">
        <v>1</v>
      </c>
      <c r="CA62">
        <v>7</v>
      </c>
      <c r="CB62" s="1">
        <v>79.58</v>
      </c>
      <c r="CG62">
        <v>61</v>
      </c>
      <c r="CH62">
        <v>61</v>
      </c>
    </row>
    <row r="63" spans="1:86" x14ac:dyDescent="0.35">
      <c r="A63">
        <v>350437</v>
      </c>
      <c r="B63" s="2">
        <v>44202</v>
      </c>
      <c r="C63" s="2">
        <v>44202</v>
      </c>
      <c r="D63">
        <v>106</v>
      </c>
      <c r="E63" s="1">
        <v>330.14</v>
      </c>
      <c r="F63" s="1">
        <v>1150.19</v>
      </c>
      <c r="G63" s="1">
        <v>329.47</v>
      </c>
      <c r="H63" s="1">
        <v>610.72</v>
      </c>
      <c r="I63" s="1">
        <v>112.76</v>
      </c>
      <c r="J63" s="1">
        <v>2423.3200000000002</v>
      </c>
      <c r="K63" s="1">
        <v>0</v>
      </c>
      <c r="L63">
        <v>412</v>
      </c>
      <c r="M63" s="1">
        <v>0</v>
      </c>
      <c r="N63" s="1">
        <v>2533.1</v>
      </c>
      <c r="O63">
        <v>0</v>
      </c>
      <c r="P63" s="1">
        <v>0</v>
      </c>
      <c r="Q63">
        <v>7</v>
      </c>
      <c r="R63" s="1">
        <v>4.22</v>
      </c>
      <c r="S63">
        <v>15</v>
      </c>
      <c r="T63" s="1">
        <v>40.01</v>
      </c>
      <c r="U63" s="1">
        <v>65.55</v>
      </c>
      <c r="V63">
        <v>0</v>
      </c>
      <c r="W63" s="1">
        <v>0</v>
      </c>
      <c r="X63">
        <v>13</v>
      </c>
      <c r="Y63" s="1">
        <v>0</v>
      </c>
      <c r="Z63">
        <v>60</v>
      </c>
      <c r="AA63" s="1">
        <v>150.82</v>
      </c>
      <c r="AB63">
        <v>3</v>
      </c>
      <c r="AC63" s="1">
        <v>4.33</v>
      </c>
      <c r="AD63">
        <v>5</v>
      </c>
      <c r="AE63" s="1">
        <v>24.86</v>
      </c>
      <c r="AF63" s="1">
        <v>0</v>
      </c>
      <c r="AG63" s="1">
        <v>0</v>
      </c>
      <c r="AH63" s="1">
        <v>0</v>
      </c>
      <c r="AI63" s="1">
        <v>0</v>
      </c>
      <c r="AJ63" s="1">
        <v>215.62</v>
      </c>
      <c r="AL63" s="1">
        <v>2423.3200000000002</v>
      </c>
      <c r="AM63" s="1">
        <v>0</v>
      </c>
      <c r="AN63" s="1">
        <v>412</v>
      </c>
      <c r="AO63" s="1">
        <v>0</v>
      </c>
      <c r="AP63" s="1">
        <v>-99.94</v>
      </c>
      <c r="AQ63">
        <v>45</v>
      </c>
      <c r="AR63" s="1">
        <v>342.64</v>
      </c>
      <c r="AS63">
        <v>176</v>
      </c>
      <c r="AT63" s="1">
        <v>1020.56</v>
      </c>
      <c r="AU63">
        <v>39</v>
      </c>
      <c r="AV63" s="1">
        <v>227.63</v>
      </c>
      <c r="AW63">
        <v>3</v>
      </c>
      <c r="AX63" s="1">
        <v>22.12</v>
      </c>
      <c r="AY63">
        <v>43</v>
      </c>
      <c r="AZ63" s="1">
        <v>235.78</v>
      </c>
      <c r="BA63">
        <v>1</v>
      </c>
      <c r="BB63" s="1">
        <v>3.04</v>
      </c>
      <c r="BC63">
        <v>1</v>
      </c>
      <c r="BD63" s="1">
        <v>3.37</v>
      </c>
      <c r="BE63">
        <v>6</v>
      </c>
      <c r="BF63" s="1">
        <v>38.65</v>
      </c>
      <c r="BK63">
        <v>5</v>
      </c>
      <c r="BL63" s="1">
        <v>47.53</v>
      </c>
      <c r="BM63">
        <v>2</v>
      </c>
      <c r="BN63" s="1">
        <v>35.14</v>
      </c>
      <c r="BO63" s="1">
        <v>32.270000000000003</v>
      </c>
      <c r="BP63">
        <v>4</v>
      </c>
      <c r="BQ63" s="1">
        <v>36.33</v>
      </c>
      <c r="BR63" s="1">
        <v>44.03</v>
      </c>
      <c r="BZ63">
        <v>1</v>
      </c>
      <c r="CA63">
        <v>6</v>
      </c>
      <c r="CB63" s="1">
        <v>114.21</v>
      </c>
      <c r="CG63">
        <v>62</v>
      </c>
      <c r="CH63">
        <v>62</v>
      </c>
    </row>
    <row r="64" spans="1:86" x14ac:dyDescent="0.35">
      <c r="A64">
        <v>351323</v>
      </c>
      <c r="B64" s="2">
        <v>44202</v>
      </c>
      <c r="C64" s="2">
        <v>44202</v>
      </c>
      <c r="D64">
        <v>140</v>
      </c>
      <c r="E64" s="1">
        <v>454.18</v>
      </c>
      <c r="F64" s="1">
        <v>1703.96</v>
      </c>
      <c r="G64" s="1">
        <v>579.21</v>
      </c>
      <c r="H64" s="1">
        <v>748.44</v>
      </c>
      <c r="I64" s="1">
        <v>83.4</v>
      </c>
      <c r="J64" s="1">
        <v>3351.76</v>
      </c>
      <c r="K64" s="1">
        <v>224.89</v>
      </c>
      <c r="L64">
        <v>667</v>
      </c>
      <c r="M64" s="1">
        <v>231.95</v>
      </c>
      <c r="N64" s="1">
        <v>3509.13</v>
      </c>
      <c r="O64">
        <v>1</v>
      </c>
      <c r="P64" s="1">
        <v>4.68</v>
      </c>
      <c r="Q64">
        <v>11</v>
      </c>
      <c r="R64" s="1">
        <v>4.08</v>
      </c>
      <c r="S64">
        <v>46</v>
      </c>
      <c r="T64" s="1">
        <v>94.08</v>
      </c>
      <c r="U64" s="1">
        <v>61.59</v>
      </c>
      <c r="V64">
        <v>1</v>
      </c>
      <c r="W64" s="1">
        <v>15</v>
      </c>
      <c r="X64">
        <v>10</v>
      </c>
      <c r="Y64" s="1">
        <v>0</v>
      </c>
      <c r="Z64">
        <v>88</v>
      </c>
      <c r="AA64" s="1">
        <v>378.14</v>
      </c>
      <c r="AB64">
        <v>11</v>
      </c>
      <c r="AC64" s="1">
        <v>29.09</v>
      </c>
      <c r="AD64">
        <v>6</v>
      </c>
      <c r="AE64" s="1">
        <v>7.49</v>
      </c>
      <c r="AF64" s="1">
        <v>0</v>
      </c>
      <c r="AG64" s="1">
        <v>0</v>
      </c>
      <c r="AH64" s="1">
        <v>0</v>
      </c>
      <c r="AI64" s="1">
        <v>0</v>
      </c>
      <c r="AJ64" s="1">
        <v>214.46</v>
      </c>
      <c r="AL64" s="1">
        <v>3576.65</v>
      </c>
      <c r="AM64" s="1">
        <v>0</v>
      </c>
      <c r="AN64" s="1">
        <v>774</v>
      </c>
      <c r="AO64" s="1">
        <v>9.06</v>
      </c>
      <c r="AP64" s="1">
        <v>0.02</v>
      </c>
      <c r="AQ64">
        <v>96</v>
      </c>
      <c r="AR64" s="1">
        <v>615.9</v>
      </c>
      <c r="AS64">
        <v>269</v>
      </c>
      <c r="AT64" s="1">
        <v>1681.46</v>
      </c>
      <c r="AU64">
        <v>12</v>
      </c>
      <c r="AV64" s="1">
        <v>104.6</v>
      </c>
      <c r="AW64">
        <v>6</v>
      </c>
      <c r="AX64" s="1">
        <v>36.69</v>
      </c>
      <c r="AY64">
        <v>110</v>
      </c>
      <c r="AZ64" s="1">
        <v>383.81</v>
      </c>
      <c r="BA64">
        <v>2</v>
      </c>
      <c r="BB64" s="1">
        <v>9.92</v>
      </c>
      <c r="BE64">
        <v>11</v>
      </c>
      <c r="BF64" s="1">
        <v>47.18</v>
      </c>
      <c r="BG64">
        <v>1</v>
      </c>
      <c r="BH64" s="1">
        <v>2.75</v>
      </c>
      <c r="BK64">
        <v>9</v>
      </c>
      <c r="BL64" s="1">
        <v>34.380000000000003</v>
      </c>
      <c r="BM64">
        <v>1</v>
      </c>
      <c r="BN64" s="1">
        <v>9.7200000000000006</v>
      </c>
      <c r="BO64" s="1">
        <v>9.17</v>
      </c>
      <c r="BP64">
        <v>4</v>
      </c>
      <c r="BQ64" s="1">
        <v>46.24</v>
      </c>
      <c r="BR64" s="1">
        <v>42.84</v>
      </c>
      <c r="BZ64">
        <v>1</v>
      </c>
      <c r="CA64">
        <v>4</v>
      </c>
      <c r="CB64" s="1">
        <v>50.42</v>
      </c>
      <c r="CG64">
        <v>63</v>
      </c>
      <c r="CH64">
        <v>63</v>
      </c>
    </row>
    <row r="65" spans="1:86" x14ac:dyDescent="0.35">
      <c r="A65">
        <v>353927</v>
      </c>
      <c r="B65" s="2">
        <v>44202</v>
      </c>
      <c r="C65" s="2">
        <v>44202</v>
      </c>
      <c r="D65">
        <v>144</v>
      </c>
      <c r="E65" s="1">
        <v>490.63</v>
      </c>
      <c r="F65" s="1">
        <v>1687.19</v>
      </c>
      <c r="G65" s="1">
        <v>516.22</v>
      </c>
      <c r="H65" s="1">
        <v>763.09</v>
      </c>
      <c r="I65" s="1">
        <v>139.66</v>
      </c>
      <c r="J65" s="1">
        <v>3305.15</v>
      </c>
      <c r="K65" s="1">
        <v>0</v>
      </c>
      <c r="L65">
        <v>607</v>
      </c>
      <c r="M65" s="1">
        <v>0</v>
      </c>
      <c r="N65" s="1">
        <v>3497.14</v>
      </c>
      <c r="O65">
        <v>1</v>
      </c>
      <c r="P65" s="1">
        <v>15.99</v>
      </c>
      <c r="Q65">
        <v>4</v>
      </c>
      <c r="R65" s="1">
        <v>0.72</v>
      </c>
      <c r="S65">
        <v>58</v>
      </c>
      <c r="T65" s="1">
        <v>98.48</v>
      </c>
      <c r="U65" s="1">
        <v>76.8</v>
      </c>
      <c r="V65">
        <v>2</v>
      </c>
      <c r="W65" s="1">
        <v>30</v>
      </c>
      <c r="X65">
        <v>11</v>
      </c>
      <c r="Y65" s="1">
        <v>0</v>
      </c>
      <c r="Z65">
        <v>91</v>
      </c>
      <c r="AA65" s="1">
        <v>254.79</v>
      </c>
      <c r="AB65">
        <v>6</v>
      </c>
      <c r="AC65" s="1">
        <v>11.15</v>
      </c>
      <c r="AD65">
        <v>1</v>
      </c>
      <c r="AE65" s="1">
        <v>0</v>
      </c>
      <c r="AF65" s="1">
        <v>0</v>
      </c>
      <c r="AG65" s="1">
        <v>0</v>
      </c>
      <c r="AH65" s="1">
        <v>0</v>
      </c>
      <c r="AI65" s="1">
        <v>0</v>
      </c>
      <c r="AJ65" s="1">
        <v>198.2</v>
      </c>
      <c r="AL65" s="1">
        <v>3305.15</v>
      </c>
      <c r="AM65" s="1">
        <v>0</v>
      </c>
      <c r="AN65" s="1">
        <v>599</v>
      </c>
      <c r="AO65" s="1">
        <v>0</v>
      </c>
      <c r="AP65" s="1">
        <v>3.7</v>
      </c>
      <c r="AQ65">
        <v>97</v>
      </c>
      <c r="AR65" s="1">
        <v>570.05999999999995</v>
      </c>
      <c r="AS65">
        <v>265</v>
      </c>
      <c r="AT65" s="1">
        <v>1669.03</v>
      </c>
      <c r="AU65">
        <v>10</v>
      </c>
      <c r="AV65" s="1">
        <v>47.25</v>
      </c>
      <c r="AW65">
        <v>5</v>
      </c>
      <c r="AX65" s="1">
        <v>31.28</v>
      </c>
      <c r="AY65">
        <v>106</v>
      </c>
      <c r="AZ65" s="1">
        <v>404.71</v>
      </c>
      <c r="BE65">
        <v>16</v>
      </c>
      <c r="BF65" s="1">
        <v>98.96</v>
      </c>
      <c r="BG65">
        <v>1</v>
      </c>
      <c r="BH65" s="1">
        <v>7.91</v>
      </c>
      <c r="BK65">
        <v>3</v>
      </c>
      <c r="BL65" s="1">
        <v>15.13</v>
      </c>
      <c r="BM65">
        <v>1</v>
      </c>
      <c r="BN65" s="1">
        <v>12.87</v>
      </c>
      <c r="BO65" s="1">
        <v>12.14</v>
      </c>
      <c r="BP65">
        <v>3</v>
      </c>
      <c r="BQ65" s="1">
        <v>32.450000000000003</v>
      </c>
      <c r="BR65" s="1">
        <v>30.61</v>
      </c>
      <c r="BZ65">
        <v>1</v>
      </c>
      <c r="CA65">
        <v>5</v>
      </c>
      <c r="CB65" s="1">
        <v>48.4</v>
      </c>
      <c r="CG65">
        <v>64</v>
      </c>
      <c r="CH65">
        <v>64</v>
      </c>
    </row>
    <row r="66" spans="1:86" x14ac:dyDescent="0.35">
      <c r="A66">
        <v>354030</v>
      </c>
      <c r="B66" s="2">
        <v>44202</v>
      </c>
      <c r="C66" s="2">
        <v>44202</v>
      </c>
      <c r="D66">
        <v>120</v>
      </c>
      <c r="E66" s="1">
        <v>404.38</v>
      </c>
      <c r="F66" s="1">
        <v>1307.6099999999999</v>
      </c>
      <c r="G66" s="1">
        <v>465.52</v>
      </c>
      <c r="H66" s="1">
        <v>574.35</v>
      </c>
      <c r="I66" s="1">
        <v>87.42</v>
      </c>
      <c r="J66" s="1">
        <v>2612.02</v>
      </c>
      <c r="K66" s="1">
        <v>102.38</v>
      </c>
      <c r="L66">
        <v>465</v>
      </c>
      <c r="M66" s="1">
        <v>104.57</v>
      </c>
      <c r="N66" s="1">
        <v>2738.82</v>
      </c>
      <c r="O66">
        <v>1</v>
      </c>
      <c r="P66" s="1">
        <v>9.49</v>
      </c>
      <c r="Q66">
        <v>4</v>
      </c>
      <c r="R66" s="1">
        <v>0.56000000000000005</v>
      </c>
      <c r="S66">
        <v>25</v>
      </c>
      <c r="T66" s="1">
        <v>62.49</v>
      </c>
      <c r="U66" s="1">
        <v>56.45</v>
      </c>
      <c r="V66">
        <v>0</v>
      </c>
      <c r="W66" s="1">
        <v>0</v>
      </c>
      <c r="X66">
        <v>8</v>
      </c>
      <c r="Y66" s="1">
        <v>0</v>
      </c>
      <c r="Z66">
        <v>98</v>
      </c>
      <c r="AA66" s="1">
        <v>295.14999999999998</v>
      </c>
      <c r="AB66">
        <v>5</v>
      </c>
      <c r="AC66" s="1">
        <v>8.76</v>
      </c>
      <c r="AD66">
        <v>1</v>
      </c>
      <c r="AE66" s="1">
        <v>4.0199999999999996</v>
      </c>
      <c r="AF66" s="1">
        <v>0</v>
      </c>
      <c r="AG66" s="1">
        <v>0</v>
      </c>
      <c r="AH66" s="1">
        <v>0</v>
      </c>
      <c r="AI66" s="1">
        <v>0</v>
      </c>
      <c r="AJ66" s="1">
        <v>162.72</v>
      </c>
      <c r="AL66" s="1">
        <v>2714.4</v>
      </c>
      <c r="AM66" s="1">
        <v>0</v>
      </c>
      <c r="AN66" s="1">
        <v>606</v>
      </c>
      <c r="AO66" s="1">
        <v>0</v>
      </c>
      <c r="AP66" s="1">
        <v>9.59</v>
      </c>
      <c r="AQ66">
        <v>56</v>
      </c>
      <c r="AR66" s="1">
        <v>344.56</v>
      </c>
      <c r="AS66">
        <v>170</v>
      </c>
      <c r="AT66" s="1">
        <v>1130.82</v>
      </c>
      <c r="AU66">
        <v>10</v>
      </c>
      <c r="AV66" s="1">
        <v>65.099999999999994</v>
      </c>
      <c r="AW66">
        <v>7</v>
      </c>
      <c r="AX66" s="1">
        <v>40.99</v>
      </c>
      <c r="AY66">
        <v>97</v>
      </c>
      <c r="AZ66" s="1">
        <v>441.29</v>
      </c>
      <c r="BE66">
        <v>16</v>
      </c>
      <c r="BF66" s="1">
        <v>138.72999999999999</v>
      </c>
      <c r="BG66">
        <v>2</v>
      </c>
      <c r="BH66" s="1">
        <v>12.78</v>
      </c>
      <c r="BK66">
        <v>4</v>
      </c>
      <c r="BL66" s="1">
        <v>48.3</v>
      </c>
      <c r="BZ66">
        <v>1</v>
      </c>
      <c r="CA66">
        <v>4</v>
      </c>
      <c r="CB66" s="1">
        <v>58.14</v>
      </c>
      <c r="CG66">
        <v>65</v>
      </c>
      <c r="CH66">
        <v>65</v>
      </c>
    </row>
    <row r="67" spans="1:86" x14ac:dyDescent="0.35">
      <c r="A67">
        <v>355439</v>
      </c>
      <c r="B67" s="2">
        <v>44202</v>
      </c>
      <c r="C67" s="2">
        <v>44202</v>
      </c>
      <c r="D67">
        <v>188</v>
      </c>
      <c r="E67" s="1">
        <v>619.95000000000005</v>
      </c>
      <c r="F67" s="1">
        <v>1891.2</v>
      </c>
      <c r="G67" s="1">
        <v>629.14</v>
      </c>
      <c r="H67" s="1">
        <v>746.38</v>
      </c>
      <c r="I67" s="1">
        <v>161.72</v>
      </c>
      <c r="J67" s="1">
        <v>3666.82</v>
      </c>
      <c r="K67" s="1">
        <v>0</v>
      </c>
      <c r="L67">
        <v>676</v>
      </c>
      <c r="M67" s="1">
        <v>0</v>
      </c>
      <c r="N67" s="1">
        <v>3789.46</v>
      </c>
      <c r="O67">
        <v>0</v>
      </c>
      <c r="P67" s="1">
        <v>0</v>
      </c>
      <c r="Q67">
        <v>12</v>
      </c>
      <c r="R67" s="1">
        <v>3.79</v>
      </c>
      <c r="S67">
        <v>34</v>
      </c>
      <c r="T67" s="1">
        <v>74.83</v>
      </c>
      <c r="U67" s="1">
        <v>44.02</v>
      </c>
      <c r="V67">
        <v>2</v>
      </c>
      <c r="W67" s="1">
        <v>45</v>
      </c>
      <c r="X67">
        <v>17</v>
      </c>
      <c r="Y67" s="1">
        <v>0</v>
      </c>
      <c r="Z67">
        <v>115</v>
      </c>
      <c r="AA67" s="1">
        <v>285.49</v>
      </c>
      <c r="AB67">
        <v>15</v>
      </c>
      <c r="AC67" s="1">
        <v>45.68</v>
      </c>
      <c r="AD67">
        <v>5</v>
      </c>
      <c r="AE67" s="1">
        <v>16.93</v>
      </c>
      <c r="AF67" s="1">
        <v>0</v>
      </c>
      <c r="AG67" s="1">
        <v>0</v>
      </c>
      <c r="AH67" s="1">
        <v>0</v>
      </c>
      <c r="AI67" s="1">
        <v>0</v>
      </c>
      <c r="AJ67" s="1">
        <v>293.7</v>
      </c>
      <c r="AL67" s="1">
        <v>3666.82</v>
      </c>
      <c r="AM67" s="1">
        <v>0</v>
      </c>
      <c r="AN67" s="1">
        <v>638.11</v>
      </c>
      <c r="AO67" s="1">
        <v>0</v>
      </c>
      <c r="AP67" s="1">
        <v>-2.6</v>
      </c>
      <c r="AQ67">
        <v>98</v>
      </c>
      <c r="AR67" s="1">
        <v>647.83000000000004</v>
      </c>
      <c r="AS67">
        <v>280</v>
      </c>
      <c r="AT67" s="1">
        <v>1819.08</v>
      </c>
      <c r="AU67">
        <v>29</v>
      </c>
      <c r="AV67" s="1">
        <v>238.58</v>
      </c>
      <c r="AW67">
        <v>8</v>
      </c>
      <c r="AX67" s="1">
        <v>53.6</v>
      </c>
      <c r="AY67">
        <v>83</v>
      </c>
      <c r="AZ67" s="1">
        <v>319.39</v>
      </c>
      <c r="BA67">
        <v>2</v>
      </c>
      <c r="BB67" s="1">
        <v>5.81</v>
      </c>
      <c r="BC67">
        <v>3</v>
      </c>
      <c r="BD67" s="1">
        <v>12.58</v>
      </c>
      <c r="BE67">
        <v>11</v>
      </c>
      <c r="BF67" s="1">
        <v>57.5</v>
      </c>
      <c r="BG67">
        <v>6</v>
      </c>
      <c r="BH67" s="1">
        <v>28.18</v>
      </c>
      <c r="BK67">
        <v>12</v>
      </c>
      <c r="BL67" s="1">
        <v>62.35</v>
      </c>
      <c r="BM67">
        <v>1</v>
      </c>
      <c r="BN67" s="1">
        <v>15.74</v>
      </c>
      <c r="BO67" s="1">
        <v>14.57</v>
      </c>
      <c r="BP67">
        <v>4</v>
      </c>
      <c r="BQ67" s="1">
        <v>38.79</v>
      </c>
      <c r="BR67" s="1">
        <v>26.42</v>
      </c>
      <c r="BZ67">
        <v>1</v>
      </c>
      <c r="CA67">
        <v>6</v>
      </c>
      <c r="CB67" s="1">
        <v>65.38</v>
      </c>
      <c r="CG67">
        <v>66</v>
      </c>
      <c r="CH67">
        <v>66</v>
      </c>
    </row>
    <row r="68" spans="1:86" x14ac:dyDescent="0.35">
      <c r="A68">
        <v>358682</v>
      </c>
      <c r="B68" s="2">
        <v>44202</v>
      </c>
      <c r="C68" s="2">
        <v>44202</v>
      </c>
      <c r="D68">
        <v>57</v>
      </c>
      <c r="E68">
        <v>204.32999999999998</v>
      </c>
      <c r="F68">
        <v>859.81999999999994</v>
      </c>
      <c r="G68">
        <v>154.77000000000001</v>
      </c>
      <c r="H68">
        <v>477.13</v>
      </c>
      <c r="I68">
        <v>68.959999999999994</v>
      </c>
      <c r="J68">
        <v>1575.0300000000002</v>
      </c>
      <c r="K68">
        <v>42.83</v>
      </c>
      <c r="L68">
        <v>308</v>
      </c>
      <c r="M68">
        <v>42.83</v>
      </c>
      <c r="N68">
        <v>1666.65</v>
      </c>
      <c r="O68">
        <v>0</v>
      </c>
      <c r="P68">
        <v>0</v>
      </c>
      <c r="R68">
        <v>91.62</v>
      </c>
      <c r="V68">
        <v>0</v>
      </c>
      <c r="W68">
        <v>0</v>
      </c>
      <c r="X68">
        <v>0</v>
      </c>
      <c r="Y68">
        <v>0</v>
      </c>
      <c r="Z68">
        <v>40</v>
      </c>
      <c r="AA68">
        <v>144.06</v>
      </c>
      <c r="AB68">
        <v>32</v>
      </c>
      <c r="AC68">
        <v>70.8</v>
      </c>
      <c r="AD68">
        <v>18</v>
      </c>
      <c r="AE68">
        <v>22.57</v>
      </c>
      <c r="AH68">
        <v>0</v>
      </c>
      <c r="AJ68">
        <v>143.33000000000001</v>
      </c>
      <c r="AN68">
        <v>336.56</v>
      </c>
      <c r="AO68">
        <v>0</v>
      </c>
      <c r="AP68">
        <v>6.9800000000000182</v>
      </c>
      <c r="AQ68">
        <v>30</v>
      </c>
      <c r="AR68">
        <v>195.65</v>
      </c>
      <c r="AS68">
        <v>148</v>
      </c>
      <c r="AT68">
        <v>895.61</v>
      </c>
      <c r="AU68">
        <v>13</v>
      </c>
      <c r="AV68">
        <v>87.01</v>
      </c>
      <c r="AW68">
        <v>4</v>
      </c>
      <c r="AX68">
        <v>29.75</v>
      </c>
      <c r="AY68">
        <v>45</v>
      </c>
      <c r="AZ68">
        <v>185.28</v>
      </c>
      <c r="BM68">
        <v>1</v>
      </c>
      <c r="BN68">
        <v>7.52</v>
      </c>
      <c r="BP68">
        <v>2</v>
      </c>
      <c r="BQ68">
        <v>11.29</v>
      </c>
      <c r="BR68">
        <v>5.99</v>
      </c>
      <c r="BS68">
        <v>1617.86</v>
      </c>
      <c r="BV68">
        <v>0</v>
      </c>
      <c r="BW68">
        <v>0</v>
      </c>
      <c r="BZ68">
        <v>1</v>
      </c>
      <c r="CA68">
        <v>2</v>
      </c>
      <c r="CB68">
        <v>19.5</v>
      </c>
      <c r="CG68">
        <v>67</v>
      </c>
      <c r="CH68">
        <v>67</v>
      </c>
    </row>
    <row r="69" spans="1:86" x14ac:dyDescent="0.35">
      <c r="A69">
        <v>359606</v>
      </c>
      <c r="B69" s="2">
        <v>44202</v>
      </c>
      <c r="C69" s="2">
        <v>44202</v>
      </c>
      <c r="D69">
        <v>36</v>
      </c>
      <c r="E69">
        <v>111.03999999999999</v>
      </c>
      <c r="F69">
        <v>498.74999999999994</v>
      </c>
      <c r="G69">
        <v>159.72999999999999</v>
      </c>
      <c r="H69">
        <v>286.26</v>
      </c>
      <c r="I69">
        <v>9.3600000000000012</v>
      </c>
      <c r="J69">
        <v>955.56</v>
      </c>
      <c r="K69">
        <v>33.029999999999994</v>
      </c>
      <c r="L69">
        <v>194</v>
      </c>
      <c r="M69">
        <v>35.019999999999996</v>
      </c>
      <c r="N69">
        <v>1032.56</v>
      </c>
      <c r="O69">
        <v>0</v>
      </c>
      <c r="P69">
        <v>0</v>
      </c>
      <c r="R69">
        <v>78.989999999999995</v>
      </c>
      <c r="V69">
        <v>0</v>
      </c>
      <c r="W69">
        <v>0</v>
      </c>
      <c r="X69">
        <v>0</v>
      </c>
      <c r="Y69">
        <v>0</v>
      </c>
      <c r="Z69">
        <v>22</v>
      </c>
      <c r="AA69">
        <v>55.11</v>
      </c>
      <c r="AB69">
        <v>3</v>
      </c>
      <c r="AC69">
        <v>2.59</v>
      </c>
      <c r="AD69">
        <v>0</v>
      </c>
      <c r="AE69">
        <v>0</v>
      </c>
      <c r="AH69">
        <v>0</v>
      </c>
      <c r="AJ69">
        <v>87.98</v>
      </c>
      <c r="AN69">
        <v>259</v>
      </c>
      <c r="AO69">
        <v>0</v>
      </c>
      <c r="AP69">
        <v>124.59</v>
      </c>
      <c r="AQ69">
        <v>22</v>
      </c>
      <c r="AR69">
        <v>186.59</v>
      </c>
      <c r="AS69">
        <v>89</v>
      </c>
      <c r="AT69">
        <v>467.82</v>
      </c>
      <c r="AU69">
        <v>19</v>
      </c>
      <c r="AV69">
        <v>89.54</v>
      </c>
      <c r="AW69">
        <v>6</v>
      </c>
      <c r="AX69">
        <v>55.5</v>
      </c>
      <c r="AY69">
        <v>39</v>
      </c>
      <c r="AZ69">
        <v>118.93</v>
      </c>
      <c r="BS69">
        <v>988.59</v>
      </c>
      <c r="BV69">
        <v>49.960000000000036</v>
      </c>
      <c r="BW69">
        <v>49.96</v>
      </c>
      <c r="BZ69">
        <v>1</v>
      </c>
      <c r="CA69">
        <v>2</v>
      </c>
      <c r="CB69">
        <v>23.78</v>
      </c>
      <c r="CG69">
        <v>68</v>
      </c>
      <c r="CH69">
        <v>68</v>
      </c>
    </row>
    <row r="70" spans="1:86" x14ac:dyDescent="0.35">
      <c r="A70">
        <v>350432</v>
      </c>
      <c r="B70" s="2">
        <v>44203</v>
      </c>
      <c r="C70" s="2">
        <v>44203</v>
      </c>
      <c r="D70">
        <v>183</v>
      </c>
      <c r="E70" s="1">
        <v>581.37</v>
      </c>
      <c r="F70" s="1">
        <v>1993.01</v>
      </c>
      <c r="G70" s="1">
        <v>523.87</v>
      </c>
      <c r="H70" s="1">
        <v>837.5</v>
      </c>
      <c r="I70" s="1">
        <v>122.75</v>
      </c>
      <c r="J70" s="1">
        <v>3794.69</v>
      </c>
      <c r="K70" s="1">
        <v>478.21</v>
      </c>
      <c r="L70">
        <v>737</v>
      </c>
      <c r="M70" s="1">
        <v>480.71</v>
      </c>
      <c r="N70" s="1">
        <v>3905.7</v>
      </c>
      <c r="O70">
        <v>0</v>
      </c>
      <c r="P70" s="1">
        <v>0</v>
      </c>
      <c r="Q70">
        <v>13</v>
      </c>
      <c r="R70" s="1">
        <v>8.9499999999999993</v>
      </c>
      <c r="S70">
        <v>29</v>
      </c>
      <c r="T70" s="1">
        <v>59.16</v>
      </c>
      <c r="U70" s="1">
        <v>45.4</v>
      </c>
      <c r="V70">
        <v>0</v>
      </c>
      <c r="W70" s="1">
        <v>0</v>
      </c>
      <c r="X70">
        <v>18</v>
      </c>
      <c r="Y70" s="1">
        <v>0</v>
      </c>
      <c r="Z70">
        <v>156</v>
      </c>
      <c r="AA70" s="1">
        <v>704.56</v>
      </c>
      <c r="AB70">
        <v>30</v>
      </c>
      <c r="AC70" s="1">
        <v>74.819999999999993</v>
      </c>
      <c r="AD70">
        <v>5</v>
      </c>
      <c r="AE70" s="1">
        <v>4.7300000000000004</v>
      </c>
      <c r="AF70" s="1">
        <v>0</v>
      </c>
      <c r="AG70" s="1">
        <v>0</v>
      </c>
      <c r="AH70" s="1">
        <v>0</v>
      </c>
      <c r="AI70" s="1">
        <v>0</v>
      </c>
      <c r="AJ70" s="1">
        <v>380.05</v>
      </c>
      <c r="AL70" s="1">
        <v>4272.8999999999996</v>
      </c>
      <c r="AM70" s="1">
        <v>0</v>
      </c>
      <c r="AN70" s="1">
        <v>778</v>
      </c>
      <c r="AO70" s="1">
        <v>0</v>
      </c>
      <c r="AP70" s="1">
        <v>-70.11</v>
      </c>
      <c r="AQ70">
        <v>86</v>
      </c>
      <c r="AR70" s="1">
        <v>531.35</v>
      </c>
      <c r="AS70">
        <v>324</v>
      </c>
      <c r="AT70" s="1">
        <v>2124.9899999999998</v>
      </c>
      <c r="AU70">
        <v>39</v>
      </c>
      <c r="AV70" s="1">
        <v>281.29000000000002</v>
      </c>
      <c r="AW70">
        <v>10</v>
      </c>
      <c r="AX70" s="1">
        <v>71.92</v>
      </c>
      <c r="AY70">
        <v>87</v>
      </c>
      <c r="AZ70" s="1">
        <v>341.58</v>
      </c>
      <c r="BA70">
        <v>1</v>
      </c>
      <c r="BB70" s="1">
        <v>9.56</v>
      </c>
      <c r="BC70">
        <v>3</v>
      </c>
      <c r="BD70" s="1">
        <v>12.68</v>
      </c>
      <c r="BE70">
        <v>14</v>
      </c>
      <c r="BF70" s="1">
        <v>52.55</v>
      </c>
      <c r="BG70">
        <v>1</v>
      </c>
      <c r="BH70" s="1">
        <v>2.82</v>
      </c>
      <c r="BK70">
        <v>5</v>
      </c>
      <c r="BL70" s="1">
        <v>45.74</v>
      </c>
      <c r="BP70">
        <v>16</v>
      </c>
      <c r="BQ70" s="1">
        <v>265.74</v>
      </c>
      <c r="BR70" s="1">
        <v>244.03</v>
      </c>
      <c r="BZ70">
        <v>1</v>
      </c>
      <c r="CA70">
        <v>4</v>
      </c>
      <c r="CB70" s="1">
        <v>64.62</v>
      </c>
      <c r="CG70">
        <v>69</v>
      </c>
      <c r="CH70">
        <v>69</v>
      </c>
    </row>
    <row r="71" spans="1:86" x14ac:dyDescent="0.35">
      <c r="A71">
        <v>350437</v>
      </c>
      <c r="B71" s="2">
        <v>44203</v>
      </c>
      <c r="C71" s="2">
        <v>44203</v>
      </c>
      <c r="D71">
        <v>83</v>
      </c>
      <c r="E71" s="1">
        <v>268.60000000000002</v>
      </c>
      <c r="F71" s="1">
        <v>1150.69</v>
      </c>
      <c r="G71" s="1">
        <v>333.7</v>
      </c>
      <c r="H71" s="1">
        <v>640.48</v>
      </c>
      <c r="I71" s="1">
        <v>77.650000000000006</v>
      </c>
      <c r="J71" s="1">
        <v>2393.21</v>
      </c>
      <c r="K71" s="1">
        <v>0</v>
      </c>
      <c r="L71">
        <v>444</v>
      </c>
      <c r="M71" s="1">
        <v>0</v>
      </c>
      <c r="N71" s="1">
        <v>2512.5500000000002</v>
      </c>
      <c r="O71">
        <v>0</v>
      </c>
      <c r="P71" s="1">
        <v>0</v>
      </c>
      <c r="Q71">
        <v>6</v>
      </c>
      <c r="R71" s="1">
        <v>6.45</v>
      </c>
      <c r="S71">
        <v>24</v>
      </c>
      <c r="T71" s="1">
        <v>62.29</v>
      </c>
      <c r="U71" s="1">
        <v>50.6</v>
      </c>
      <c r="V71">
        <v>0</v>
      </c>
      <c r="W71" s="1">
        <v>0</v>
      </c>
      <c r="X71">
        <v>10</v>
      </c>
      <c r="Y71" s="1">
        <v>0</v>
      </c>
      <c r="Z71">
        <v>60</v>
      </c>
      <c r="AA71" s="1">
        <v>160.13999999999999</v>
      </c>
      <c r="AB71">
        <v>8</v>
      </c>
      <c r="AC71" s="1">
        <v>24.63</v>
      </c>
      <c r="AD71">
        <v>3</v>
      </c>
      <c r="AE71" s="1">
        <v>12.58</v>
      </c>
      <c r="AF71" s="1">
        <v>0</v>
      </c>
      <c r="AG71" s="1">
        <v>0</v>
      </c>
      <c r="AH71" s="1">
        <v>0</v>
      </c>
      <c r="AI71" s="1">
        <v>0</v>
      </c>
      <c r="AJ71" s="1">
        <v>212.97</v>
      </c>
      <c r="AL71" s="1">
        <v>2393.21</v>
      </c>
      <c r="AM71" s="1">
        <v>0</v>
      </c>
      <c r="AN71" s="1">
        <v>413</v>
      </c>
      <c r="AO71" s="1">
        <v>0</v>
      </c>
      <c r="AP71" s="1">
        <v>8.1300000000000008</v>
      </c>
      <c r="AQ71">
        <v>58</v>
      </c>
      <c r="AR71" s="1">
        <v>353.42</v>
      </c>
      <c r="AS71">
        <v>170</v>
      </c>
      <c r="AT71" s="1">
        <v>1087.44</v>
      </c>
      <c r="AU71">
        <v>44</v>
      </c>
      <c r="AV71" s="1">
        <v>275.38</v>
      </c>
      <c r="AW71">
        <v>3</v>
      </c>
      <c r="AX71" s="1">
        <v>26.56</v>
      </c>
      <c r="AY71">
        <v>52</v>
      </c>
      <c r="AZ71" s="1">
        <v>209.44</v>
      </c>
      <c r="BC71">
        <v>1</v>
      </c>
      <c r="BD71" s="1">
        <v>5.54</v>
      </c>
      <c r="BE71">
        <v>11</v>
      </c>
      <c r="BF71" s="1">
        <v>57.81</v>
      </c>
      <c r="BG71">
        <v>1</v>
      </c>
      <c r="BH71" s="1">
        <v>3.37</v>
      </c>
      <c r="BK71">
        <v>7</v>
      </c>
      <c r="BL71" s="1">
        <v>37.590000000000003</v>
      </c>
      <c r="BM71">
        <v>1</v>
      </c>
      <c r="BN71" s="1">
        <v>6.84</v>
      </c>
      <c r="BO71" s="1">
        <v>6.28</v>
      </c>
      <c r="BP71">
        <v>11</v>
      </c>
      <c r="BQ71" s="1">
        <v>111.76</v>
      </c>
      <c r="BR71" s="1">
        <v>98.39</v>
      </c>
      <c r="BZ71">
        <v>1</v>
      </c>
      <c r="CA71">
        <v>2</v>
      </c>
      <c r="CB71" s="1">
        <v>26.16</v>
      </c>
      <c r="CG71">
        <v>70</v>
      </c>
      <c r="CH71">
        <v>70</v>
      </c>
    </row>
    <row r="72" spans="1:86" x14ac:dyDescent="0.35">
      <c r="A72">
        <v>351323</v>
      </c>
      <c r="B72" s="2">
        <v>44203</v>
      </c>
      <c r="C72" s="2">
        <v>44203</v>
      </c>
      <c r="D72">
        <v>124</v>
      </c>
      <c r="E72" s="1">
        <v>374.04</v>
      </c>
      <c r="F72" s="1">
        <v>1610.53</v>
      </c>
      <c r="G72" s="1">
        <v>449.54</v>
      </c>
      <c r="H72" s="1">
        <v>651.34</v>
      </c>
      <c r="I72" s="1">
        <v>124.18</v>
      </c>
      <c r="J72" s="1">
        <v>2989.19</v>
      </c>
      <c r="K72" s="1">
        <v>320.05</v>
      </c>
      <c r="L72">
        <v>618</v>
      </c>
      <c r="M72" s="1">
        <v>323.24</v>
      </c>
      <c r="N72" s="1">
        <v>3159.04</v>
      </c>
      <c r="O72">
        <v>1</v>
      </c>
      <c r="P72" s="1">
        <v>9.07</v>
      </c>
      <c r="Q72">
        <v>10</v>
      </c>
      <c r="R72" s="1">
        <v>1.99</v>
      </c>
      <c r="S72">
        <v>53</v>
      </c>
      <c r="T72" s="1">
        <v>104.49</v>
      </c>
      <c r="U72" s="1">
        <v>57.49</v>
      </c>
      <c r="V72">
        <v>0</v>
      </c>
      <c r="W72" s="1">
        <v>0</v>
      </c>
      <c r="X72">
        <v>11</v>
      </c>
      <c r="Y72" s="1">
        <v>0</v>
      </c>
      <c r="Z72">
        <v>114</v>
      </c>
      <c r="AA72" s="1">
        <v>311.58</v>
      </c>
      <c r="AB72">
        <v>14</v>
      </c>
      <c r="AC72" s="1">
        <v>32.18</v>
      </c>
      <c r="AD72">
        <v>9</v>
      </c>
      <c r="AE72" s="1">
        <v>19.23</v>
      </c>
      <c r="AF72" s="1">
        <v>0</v>
      </c>
      <c r="AG72" s="1">
        <v>0</v>
      </c>
      <c r="AH72" s="1">
        <v>0</v>
      </c>
      <c r="AI72" s="1">
        <v>0</v>
      </c>
      <c r="AJ72" s="1">
        <v>198.4</v>
      </c>
      <c r="AL72" s="1">
        <v>3309.24</v>
      </c>
      <c r="AM72" s="1">
        <v>0</v>
      </c>
      <c r="AN72" s="1">
        <v>731</v>
      </c>
      <c r="AO72" s="1">
        <v>0</v>
      </c>
      <c r="AP72" s="1">
        <v>-0.46</v>
      </c>
      <c r="AQ72">
        <v>81</v>
      </c>
      <c r="AR72" s="1">
        <v>451.92</v>
      </c>
      <c r="AS72">
        <v>267</v>
      </c>
      <c r="AT72" s="1">
        <v>1621.89</v>
      </c>
      <c r="AU72">
        <v>14</v>
      </c>
      <c r="AV72" s="1">
        <v>60.22</v>
      </c>
      <c r="AW72">
        <v>7</v>
      </c>
      <c r="AX72" s="1">
        <v>47.01</v>
      </c>
      <c r="AY72">
        <v>92</v>
      </c>
      <c r="AZ72" s="1">
        <v>351.01</v>
      </c>
      <c r="BC72">
        <v>2</v>
      </c>
      <c r="BD72" s="1">
        <v>11.32</v>
      </c>
      <c r="BE72">
        <v>10</v>
      </c>
      <c r="BF72" s="1">
        <v>31.65</v>
      </c>
      <c r="BG72">
        <v>3</v>
      </c>
      <c r="BH72" s="1">
        <v>18.27</v>
      </c>
      <c r="BI72">
        <v>3</v>
      </c>
      <c r="BJ72" s="1">
        <v>128.22999999999999</v>
      </c>
      <c r="BK72">
        <v>4</v>
      </c>
      <c r="BL72" s="1">
        <v>22.51</v>
      </c>
      <c r="BM72">
        <v>1</v>
      </c>
      <c r="BN72" s="1">
        <v>2.85</v>
      </c>
      <c r="BO72" s="1">
        <v>2.69</v>
      </c>
      <c r="BZ72">
        <v>1</v>
      </c>
      <c r="CA72">
        <v>3</v>
      </c>
      <c r="CB72" s="1">
        <v>29.3</v>
      </c>
      <c r="CG72">
        <v>71</v>
      </c>
      <c r="CH72">
        <v>71</v>
      </c>
    </row>
    <row r="73" spans="1:86" x14ac:dyDescent="0.35">
      <c r="A73">
        <v>353927</v>
      </c>
      <c r="B73" s="2">
        <v>44203</v>
      </c>
      <c r="C73" s="2">
        <v>44203</v>
      </c>
      <c r="D73">
        <v>138</v>
      </c>
      <c r="E73" s="1">
        <v>495.47</v>
      </c>
      <c r="F73" s="1">
        <v>1688.57</v>
      </c>
      <c r="G73" s="1">
        <v>587.03</v>
      </c>
      <c r="H73" s="1">
        <v>872.15</v>
      </c>
      <c r="I73" s="1">
        <v>143.6</v>
      </c>
      <c r="J73" s="1">
        <v>3498.34</v>
      </c>
      <c r="K73" s="1">
        <v>0</v>
      </c>
      <c r="L73">
        <v>595</v>
      </c>
      <c r="M73" s="1">
        <v>0</v>
      </c>
      <c r="N73" s="1">
        <v>3656.23</v>
      </c>
      <c r="O73">
        <v>0</v>
      </c>
      <c r="P73" s="1">
        <v>0</v>
      </c>
      <c r="Q73">
        <v>4</v>
      </c>
      <c r="R73" s="1">
        <v>2.67</v>
      </c>
      <c r="S73">
        <v>50</v>
      </c>
      <c r="T73" s="1">
        <v>84.2</v>
      </c>
      <c r="U73" s="1">
        <v>71.02</v>
      </c>
      <c r="V73">
        <v>1</v>
      </c>
      <c r="W73" s="1">
        <v>15</v>
      </c>
      <c r="X73">
        <v>10</v>
      </c>
      <c r="Y73" s="1">
        <v>0</v>
      </c>
      <c r="Z73">
        <v>93</v>
      </c>
      <c r="AA73" s="1">
        <v>273.2</v>
      </c>
      <c r="AB73">
        <v>11</v>
      </c>
      <c r="AC73" s="1">
        <v>36.79</v>
      </c>
      <c r="AD73">
        <v>4</v>
      </c>
      <c r="AE73" s="1">
        <v>8.36</v>
      </c>
      <c r="AF73" s="1">
        <v>0</v>
      </c>
      <c r="AG73" s="1">
        <v>0</v>
      </c>
      <c r="AH73" s="1">
        <v>0</v>
      </c>
      <c r="AI73" s="1">
        <v>0</v>
      </c>
      <c r="AJ73" s="1">
        <v>209.8</v>
      </c>
      <c r="AL73" s="1">
        <v>3498.34</v>
      </c>
      <c r="AM73" s="1">
        <v>0</v>
      </c>
      <c r="AN73" s="1">
        <v>779</v>
      </c>
      <c r="AO73" s="1">
        <v>0</v>
      </c>
      <c r="AP73" s="1">
        <v>-2.2799999999999998</v>
      </c>
      <c r="AQ73">
        <v>83</v>
      </c>
      <c r="AR73" s="1">
        <v>557.67999999999995</v>
      </c>
      <c r="AS73">
        <v>267</v>
      </c>
      <c r="AT73" s="1">
        <v>1741.57</v>
      </c>
      <c r="AU73">
        <v>6</v>
      </c>
      <c r="AV73" s="1">
        <v>45.4</v>
      </c>
      <c r="AW73">
        <v>2</v>
      </c>
      <c r="AX73" s="1">
        <v>12.14</v>
      </c>
      <c r="AY73">
        <v>83</v>
      </c>
      <c r="AZ73" s="1">
        <v>358.94</v>
      </c>
      <c r="BE73">
        <v>15</v>
      </c>
      <c r="BF73" s="1">
        <v>97.42</v>
      </c>
      <c r="BK73">
        <v>4</v>
      </c>
      <c r="BL73" s="1">
        <v>24.04</v>
      </c>
      <c r="BP73">
        <v>2</v>
      </c>
      <c r="BQ73" s="1">
        <v>38.78</v>
      </c>
      <c r="BR73" s="1">
        <v>60.89</v>
      </c>
      <c r="BZ73">
        <v>1</v>
      </c>
      <c r="CA73">
        <v>5</v>
      </c>
      <c r="CB73" s="1">
        <v>65.89</v>
      </c>
      <c r="CG73">
        <v>72</v>
      </c>
      <c r="CH73">
        <v>72</v>
      </c>
    </row>
    <row r="74" spans="1:86" x14ac:dyDescent="0.35">
      <c r="A74">
        <v>354030</v>
      </c>
      <c r="B74" s="2">
        <v>44203</v>
      </c>
      <c r="C74" s="2">
        <v>44203</v>
      </c>
      <c r="D74">
        <v>119</v>
      </c>
      <c r="E74" s="1">
        <v>410.95</v>
      </c>
      <c r="F74" s="1">
        <v>1314</v>
      </c>
      <c r="G74" s="1">
        <v>458.85</v>
      </c>
      <c r="H74" s="1">
        <v>566.02</v>
      </c>
      <c r="I74" s="1">
        <v>101.25</v>
      </c>
      <c r="J74" s="1">
        <v>2607.5</v>
      </c>
      <c r="K74" s="1">
        <v>118.86</v>
      </c>
      <c r="L74">
        <v>469</v>
      </c>
      <c r="M74" s="1">
        <v>121.05</v>
      </c>
      <c r="N74" s="1">
        <v>2737.34</v>
      </c>
      <c r="O74">
        <v>4</v>
      </c>
      <c r="P74" s="1">
        <v>14.45</v>
      </c>
      <c r="Q74">
        <v>4</v>
      </c>
      <c r="R74" s="1">
        <v>0.81</v>
      </c>
      <c r="S74">
        <v>20</v>
      </c>
      <c r="T74" s="1">
        <v>42.58</v>
      </c>
      <c r="U74" s="1">
        <v>74.19</v>
      </c>
      <c r="V74">
        <v>0</v>
      </c>
      <c r="W74" s="1">
        <v>0</v>
      </c>
      <c r="X74">
        <v>4</v>
      </c>
      <c r="Y74" s="1">
        <v>0</v>
      </c>
      <c r="Z74">
        <v>72</v>
      </c>
      <c r="AA74" s="1">
        <v>170.45</v>
      </c>
      <c r="AB74">
        <v>7</v>
      </c>
      <c r="AC74" s="1">
        <v>12</v>
      </c>
      <c r="AD74">
        <v>3</v>
      </c>
      <c r="AE74" s="1">
        <v>4.4400000000000004</v>
      </c>
      <c r="AF74" s="1">
        <v>0</v>
      </c>
      <c r="AG74" s="1">
        <v>0</v>
      </c>
      <c r="AH74" s="1">
        <v>0</v>
      </c>
      <c r="AI74" s="1">
        <v>0</v>
      </c>
      <c r="AJ74" s="1">
        <v>163.46</v>
      </c>
      <c r="AL74" s="1">
        <v>2726.36</v>
      </c>
      <c r="AM74" s="1">
        <v>0</v>
      </c>
      <c r="AN74" s="1">
        <v>489</v>
      </c>
      <c r="AO74" s="1">
        <v>0</v>
      </c>
      <c r="AP74" s="1">
        <v>-4.76</v>
      </c>
      <c r="AQ74">
        <v>63</v>
      </c>
      <c r="AR74" s="1">
        <v>445.23</v>
      </c>
      <c r="AS74">
        <v>181</v>
      </c>
      <c r="AT74" s="1">
        <v>1163.5</v>
      </c>
      <c r="AU74">
        <v>12</v>
      </c>
      <c r="AV74" s="1">
        <v>86.89</v>
      </c>
      <c r="AW74">
        <v>8</v>
      </c>
      <c r="AX74" s="1">
        <v>39.01</v>
      </c>
      <c r="AY74">
        <v>93</v>
      </c>
      <c r="AZ74" s="1">
        <v>401.97</v>
      </c>
      <c r="BE74">
        <v>19</v>
      </c>
      <c r="BF74" s="1">
        <v>114.03</v>
      </c>
      <c r="BG74">
        <v>1</v>
      </c>
      <c r="BH74" s="1">
        <v>2.64</v>
      </c>
      <c r="BK74">
        <v>6</v>
      </c>
      <c r="BL74" s="1">
        <v>74.75</v>
      </c>
      <c r="BM74">
        <v>1</v>
      </c>
      <c r="BN74" s="1">
        <v>22.43</v>
      </c>
      <c r="BO74" s="1">
        <v>21.16</v>
      </c>
      <c r="BZ74">
        <v>1</v>
      </c>
      <c r="CA74">
        <v>5</v>
      </c>
      <c r="CB74" s="1">
        <v>45.61</v>
      </c>
      <c r="CG74">
        <v>73</v>
      </c>
      <c r="CH74">
        <v>73</v>
      </c>
    </row>
    <row r="75" spans="1:86" x14ac:dyDescent="0.35">
      <c r="A75">
        <v>355439</v>
      </c>
      <c r="B75" s="2">
        <v>44203</v>
      </c>
      <c r="C75" s="2">
        <v>44203</v>
      </c>
      <c r="D75">
        <v>213</v>
      </c>
      <c r="E75" s="1">
        <v>711.38</v>
      </c>
      <c r="F75" s="1">
        <v>2132.0300000000002</v>
      </c>
      <c r="G75" s="1">
        <v>643.48</v>
      </c>
      <c r="H75" s="1">
        <v>876.63</v>
      </c>
      <c r="I75" s="1">
        <v>157.07</v>
      </c>
      <c r="J75" s="1">
        <v>4076.19</v>
      </c>
      <c r="K75" s="1">
        <v>0</v>
      </c>
      <c r="L75">
        <v>747</v>
      </c>
      <c r="M75" s="1">
        <v>0</v>
      </c>
      <c r="N75" s="1">
        <v>4224.01</v>
      </c>
      <c r="O75">
        <v>2</v>
      </c>
      <c r="P75" s="1">
        <v>3.57</v>
      </c>
      <c r="Q75">
        <v>16</v>
      </c>
      <c r="R75" s="1">
        <v>7.41</v>
      </c>
      <c r="S75">
        <v>45</v>
      </c>
      <c r="T75" s="1">
        <v>85.02</v>
      </c>
      <c r="U75" s="1">
        <v>51.82</v>
      </c>
      <c r="V75">
        <v>1</v>
      </c>
      <c r="W75" s="1">
        <v>10</v>
      </c>
      <c r="X75">
        <v>14</v>
      </c>
      <c r="Y75" s="1">
        <v>0</v>
      </c>
      <c r="Z75">
        <v>129</v>
      </c>
      <c r="AA75" s="1">
        <v>381.07</v>
      </c>
      <c r="AB75">
        <v>13</v>
      </c>
      <c r="AC75" s="1">
        <v>29.96</v>
      </c>
      <c r="AD75">
        <v>9</v>
      </c>
      <c r="AE75" s="1">
        <v>21.38</v>
      </c>
      <c r="AF75" s="1">
        <v>0.05</v>
      </c>
      <c r="AG75" s="1">
        <v>0</v>
      </c>
      <c r="AH75" s="1">
        <v>0</v>
      </c>
      <c r="AI75" s="1">
        <v>0</v>
      </c>
      <c r="AJ75" s="1">
        <v>326.27999999999997</v>
      </c>
      <c r="AL75" s="1">
        <v>4076.24</v>
      </c>
      <c r="AM75" s="1">
        <v>0</v>
      </c>
      <c r="AN75" s="1">
        <v>736</v>
      </c>
      <c r="AO75" s="1">
        <v>108.89</v>
      </c>
      <c r="AP75" s="1">
        <v>-7.76</v>
      </c>
      <c r="AQ75">
        <v>91</v>
      </c>
      <c r="AR75" s="1">
        <v>642.52</v>
      </c>
      <c r="AS75">
        <v>310</v>
      </c>
      <c r="AT75" s="1">
        <v>1871.14</v>
      </c>
      <c r="AU75">
        <v>28</v>
      </c>
      <c r="AV75" s="1">
        <v>164.61</v>
      </c>
      <c r="AW75">
        <v>8</v>
      </c>
      <c r="AX75" s="1">
        <v>61.84</v>
      </c>
      <c r="AY75">
        <v>96</v>
      </c>
      <c r="AZ75" s="1">
        <v>358.53</v>
      </c>
      <c r="BA75">
        <v>5</v>
      </c>
      <c r="BB75" s="1">
        <v>28.49</v>
      </c>
      <c r="BE75">
        <v>22</v>
      </c>
      <c r="BF75" s="1">
        <v>174.31</v>
      </c>
      <c r="BG75">
        <v>4</v>
      </c>
      <c r="BH75" s="1">
        <v>35.020000000000003</v>
      </c>
      <c r="BK75">
        <v>14</v>
      </c>
      <c r="BL75" s="1">
        <v>68.94</v>
      </c>
      <c r="BP75">
        <v>4</v>
      </c>
      <c r="BQ75" s="1">
        <v>54.09</v>
      </c>
      <c r="BR75" s="1">
        <v>50.08</v>
      </c>
      <c r="BZ75">
        <v>1</v>
      </c>
      <c r="CA75">
        <v>7</v>
      </c>
      <c r="CB75" s="1">
        <v>100.38</v>
      </c>
      <c r="CG75">
        <v>74</v>
      </c>
      <c r="CH75">
        <v>74</v>
      </c>
    </row>
    <row r="76" spans="1:86" x14ac:dyDescent="0.35">
      <c r="A76">
        <v>358682</v>
      </c>
      <c r="B76" s="2">
        <v>44203</v>
      </c>
      <c r="C76" s="2">
        <v>44203</v>
      </c>
      <c r="D76">
        <v>73</v>
      </c>
      <c r="E76">
        <v>243.37</v>
      </c>
      <c r="F76">
        <v>906.82</v>
      </c>
      <c r="G76">
        <v>193.39</v>
      </c>
      <c r="H76">
        <v>539.89</v>
      </c>
      <c r="I76">
        <v>52.38</v>
      </c>
      <c r="J76">
        <v>1720.07</v>
      </c>
      <c r="K76">
        <v>70.030000000000015</v>
      </c>
      <c r="L76">
        <v>302</v>
      </c>
      <c r="M76">
        <v>74.830000000000013</v>
      </c>
      <c r="N76">
        <v>1801.9299999999998</v>
      </c>
      <c r="O76">
        <v>0</v>
      </c>
      <c r="P76">
        <v>0</v>
      </c>
      <c r="R76">
        <v>86.66</v>
      </c>
      <c r="V76">
        <v>0</v>
      </c>
      <c r="W76">
        <v>0</v>
      </c>
      <c r="X76">
        <v>0</v>
      </c>
      <c r="Y76">
        <v>0</v>
      </c>
      <c r="Z76">
        <v>33</v>
      </c>
      <c r="AA76">
        <v>75.459999999999994</v>
      </c>
      <c r="AB76">
        <v>7</v>
      </c>
      <c r="AC76">
        <v>161.56</v>
      </c>
      <c r="AD76">
        <v>18</v>
      </c>
      <c r="AE76">
        <v>18.8</v>
      </c>
      <c r="AH76">
        <v>0</v>
      </c>
      <c r="AJ76">
        <v>159.34</v>
      </c>
      <c r="AN76">
        <v>359.66</v>
      </c>
      <c r="AO76">
        <v>0</v>
      </c>
      <c r="AP76">
        <v>-18.949999999999989</v>
      </c>
      <c r="AQ76">
        <v>38</v>
      </c>
      <c r="AR76">
        <v>249.38</v>
      </c>
      <c r="AS76">
        <v>144</v>
      </c>
      <c r="AT76">
        <v>935.48</v>
      </c>
      <c r="AU76">
        <v>18</v>
      </c>
      <c r="AV76">
        <v>128.6</v>
      </c>
      <c r="AW76">
        <v>3</v>
      </c>
      <c r="AX76">
        <v>42.66</v>
      </c>
      <c r="AY76">
        <v>38</v>
      </c>
      <c r="AZ76">
        <v>184.83</v>
      </c>
      <c r="BM76">
        <v>1</v>
      </c>
      <c r="BN76">
        <v>5.82</v>
      </c>
      <c r="BP76">
        <v>3</v>
      </c>
      <c r="BQ76">
        <v>24.06</v>
      </c>
      <c r="BR76">
        <v>11.31</v>
      </c>
      <c r="BS76">
        <v>1790.1</v>
      </c>
      <c r="BV76">
        <v>0</v>
      </c>
      <c r="BW76">
        <v>0</v>
      </c>
      <c r="BZ76">
        <v>1</v>
      </c>
      <c r="CG76">
        <v>75</v>
      </c>
      <c r="CH76">
        <v>75</v>
      </c>
    </row>
    <row r="77" spans="1:86" x14ac:dyDescent="0.35">
      <c r="A77">
        <v>359606</v>
      </c>
      <c r="B77" s="2">
        <v>44203</v>
      </c>
      <c r="C77" s="2">
        <v>44203</v>
      </c>
      <c r="D77">
        <v>40</v>
      </c>
      <c r="E77">
        <v>128.60000000000002</v>
      </c>
      <c r="F77">
        <v>490.49</v>
      </c>
      <c r="G77">
        <v>132.5</v>
      </c>
      <c r="H77">
        <v>273.64</v>
      </c>
      <c r="I77">
        <v>18.13</v>
      </c>
      <c r="J77">
        <v>893.66</v>
      </c>
      <c r="K77">
        <v>20.16</v>
      </c>
      <c r="L77">
        <v>198</v>
      </c>
      <c r="M77">
        <v>22.15</v>
      </c>
      <c r="N77">
        <v>952.61</v>
      </c>
      <c r="O77">
        <v>2</v>
      </c>
      <c r="P77">
        <v>3.78</v>
      </c>
      <c r="R77">
        <v>60.94</v>
      </c>
      <c r="V77">
        <v>0</v>
      </c>
      <c r="W77">
        <v>0</v>
      </c>
      <c r="X77">
        <v>0</v>
      </c>
      <c r="Y77">
        <v>0</v>
      </c>
      <c r="Z77">
        <v>85</v>
      </c>
      <c r="AA77">
        <v>449.25</v>
      </c>
      <c r="AB77">
        <v>8</v>
      </c>
      <c r="AC77">
        <v>36.75</v>
      </c>
      <c r="AD77">
        <v>29</v>
      </c>
      <c r="AE77">
        <v>36.9</v>
      </c>
      <c r="AH77">
        <v>0</v>
      </c>
      <c r="AJ77">
        <v>81.319999999999993</v>
      </c>
      <c r="AN77">
        <v>124</v>
      </c>
      <c r="AO77">
        <v>0</v>
      </c>
      <c r="AP77">
        <v>-19.330000000000013</v>
      </c>
      <c r="AQ77">
        <v>22</v>
      </c>
      <c r="AR77">
        <v>159.22</v>
      </c>
      <c r="AS77">
        <v>84</v>
      </c>
      <c r="AT77">
        <v>480.77</v>
      </c>
      <c r="AU77">
        <v>14</v>
      </c>
      <c r="AV77">
        <v>68.73</v>
      </c>
      <c r="AW77">
        <v>2</v>
      </c>
      <c r="AX77">
        <v>14</v>
      </c>
      <c r="AY77">
        <v>29</v>
      </c>
      <c r="AZ77">
        <v>117.6</v>
      </c>
      <c r="BS77">
        <v>941.98</v>
      </c>
      <c r="BV77">
        <v>19.309999999999945</v>
      </c>
      <c r="BW77">
        <v>49.96</v>
      </c>
      <c r="BZ77">
        <v>1</v>
      </c>
      <c r="CA77">
        <v>2</v>
      </c>
      <c r="CB77">
        <v>42.14</v>
      </c>
      <c r="CG77">
        <v>76</v>
      </c>
      <c r="CH77">
        <v>76</v>
      </c>
    </row>
    <row r="78" spans="1:86" x14ac:dyDescent="0.35">
      <c r="A78">
        <v>352613</v>
      </c>
      <c r="B78" s="2">
        <v>44203</v>
      </c>
      <c r="C78" s="2">
        <v>44203</v>
      </c>
      <c r="D78">
        <v>97</v>
      </c>
      <c r="E78">
        <v>334.03</v>
      </c>
      <c r="F78">
        <v>1733.53</v>
      </c>
      <c r="G78">
        <v>501.77</v>
      </c>
      <c r="H78">
        <v>696.36</v>
      </c>
      <c r="I78">
        <v>202.85</v>
      </c>
      <c r="J78">
        <v>3230.6099999999997</v>
      </c>
      <c r="K78">
        <v>199.13</v>
      </c>
      <c r="L78">
        <v>646</v>
      </c>
      <c r="M78">
        <v>203.10999999999999</v>
      </c>
      <c r="N78">
        <v>3406.93</v>
      </c>
      <c r="O78">
        <v>2</v>
      </c>
      <c r="P78">
        <v>9.18</v>
      </c>
      <c r="R78">
        <v>180.29999999999998</v>
      </c>
      <c r="V78">
        <v>1</v>
      </c>
      <c r="W78">
        <v>5</v>
      </c>
      <c r="X78">
        <v>0</v>
      </c>
      <c r="Y78">
        <v>0</v>
      </c>
      <c r="Z78">
        <v>121</v>
      </c>
      <c r="AA78">
        <v>232.35</v>
      </c>
      <c r="AB78">
        <v>35</v>
      </c>
      <c r="AC78">
        <v>1163.5999999999999</v>
      </c>
      <c r="AD78">
        <v>43</v>
      </c>
      <c r="AE78">
        <v>99.98</v>
      </c>
      <c r="AH78">
        <v>0</v>
      </c>
      <c r="AJ78">
        <v>274.64</v>
      </c>
      <c r="AN78">
        <v>979</v>
      </c>
      <c r="AO78">
        <v>0</v>
      </c>
      <c r="AP78">
        <v>2.4600000000000364</v>
      </c>
      <c r="AQ78">
        <v>54</v>
      </c>
      <c r="AR78">
        <v>376.19</v>
      </c>
      <c r="AS78">
        <v>264</v>
      </c>
      <c r="AT78">
        <v>1645.71</v>
      </c>
      <c r="AU78">
        <v>18</v>
      </c>
      <c r="AV78">
        <v>146.37</v>
      </c>
      <c r="AW78">
        <v>7</v>
      </c>
      <c r="AX78">
        <v>38.200000000000003</v>
      </c>
      <c r="AY78">
        <v>89</v>
      </c>
      <c r="AZ78">
        <v>322.43</v>
      </c>
      <c r="BP78">
        <v>3</v>
      </c>
      <c r="BQ78">
        <v>36.61</v>
      </c>
      <c r="BR78">
        <v>68.260000000000005</v>
      </c>
      <c r="BS78">
        <v>3429.74</v>
      </c>
      <c r="BV78">
        <v>8.1599999999998545</v>
      </c>
      <c r="BW78">
        <v>8.16</v>
      </c>
      <c r="BZ78">
        <v>1</v>
      </c>
      <c r="CA78">
        <v>10</v>
      </c>
      <c r="CB78">
        <v>128.61000000000001</v>
      </c>
      <c r="CE78">
        <v>1</v>
      </c>
      <c r="CF78">
        <v>38.869999999999997</v>
      </c>
      <c r="CG78">
        <v>77</v>
      </c>
      <c r="CH78">
        <v>77</v>
      </c>
    </row>
    <row r="79" spans="1:86" x14ac:dyDescent="0.35">
      <c r="A79">
        <v>358682</v>
      </c>
      <c r="B79" s="2">
        <v>44204</v>
      </c>
      <c r="C79" s="2">
        <v>44204</v>
      </c>
      <c r="D79">
        <v>70</v>
      </c>
      <c r="E79">
        <v>248.2</v>
      </c>
      <c r="F79">
        <v>1031.6300000000001</v>
      </c>
      <c r="G79">
        <v>228.97</v>
      </c>
      <c r="H79">
        <v>680.99</v>
      </c>
      <c r="I79">
        <v>113.16</v>
      </c>
      <c r="J79">
        <v>2122.9699999999998</v>
      </c>
      <c r="K79">
        <v>88.56</v>
      </c>
      <c r="L79">
        <v>346</v>
      </c>
      <c r="M79">
        <v>89.56</v>
      </c>
      <c r="N79">
        <v>2242.75</v>
      </c>
      <c r="O79">
        <v>0</v>
      </c>
      <c r="P79">
        <v>0</v>
      </c>
      <c r="R79">
        <v>120.78</v>
      </c>
      <c r="V79">
        <v>0</v>
      </c>
      <c r="W79">
        <v>0</v>
      </c>
      <c r="X79">
        <v>0</v>
      </c>
      <c r="Y79">
        <v>0</v>
      </c>
      <c r="Z79">
        <v>44</v>
      </c>
      <c r="AA79">
        <v>122.41</v>
      </c>
      <c r="AB79">
        <v>12</v>
      </c>
      <c r="AC79">
        <v>109.18</v>
      </c>
      <c r="AD79">
        <v>15</v>
      </c>
      <c r="AE79">
        <v>24.77</v>
      </c>
      <c r="AH79">
        <v>0</v>
      </c>
      <c r="AJ79">
        <v>196.25</v>
      </c>
      <c r="AN79">
        <v>436.97</v>
      </c>
      <c r="AO79">
        <v>0</v>
      </c>
      <c r="AP79">
        <v>10.110000000000014</v>
      </c>
      <c r="AQ79">
        <v>45</v>
      </c>
      <c r="AR79">
        <v>315.3</v>
      </c>
      <c r="AS79">
        <v>151</v>
      </c>
      <c r="AT79">
        <v>1143.54</v>
      </c>
      <c r="AU79">
        <v>24</v>
      </c>
      <c r="AV79">
        <v>175.54</v>
      </c>
      <c r="AW79">
        <v>5</v>
      </c>
      <c r="AX79">
        <v>23.37</v>
      </c>
      <c r="AY79">
        <v>47</v>
      </c>
      <c r="AZ79">
        <v>247.49</v>
      </c>
      <c r="BP79">
        <v>5</v>
      </c>
      <c r="BQ79">
        <v>50.83</v>
      </c>
      <c r="BR79">
        <v>46.68</v>
      </c>
      <c r="BS79">
        <v>2211.5300000000002</v>
      </c>
      <c r="BV79">
        <v>0</v>
      </c>
      <c r="BW79">
        <v>0</v>
      </c>
      <c r="BZ79">
        <v>1</v>
      </c>
      <c r="CA79">
        <v>2</v>
      </c>
      <c r="CB79">
        <v>24.85</v>
      </c>
      <c r="CG79">
        <v>78</v>
      </c>
      <c r="CH79">
        <v>78</v>
      </c>
    </row>
    <row r="80" spans="1:86" x14ac:dyDescent="0.35">
      <c r="A80">
        <v>359606</v>
      </c>
      <c r="B80" s="2">
        <v>44204</v>
      </c>
      <c r="C80" s="2">
        <v>44204</v>
      </c>
      <c r="D80">
        <v>33</v>
      </c>
      <c r="E80">
        <v>101.17</v>
      </c>
      <c r="F80">
        <v>437.25</v>
      </c>
      <c r="G80">
        <v>154.59</v>
      </c>
      <c r="H80">
        <v>351.45</v>
      </c>
      <c r="I80">
        <v>47.49</v>
      </c>
      <c r="J80">
        <v>1016.95</v>
      </c>
      <c r="K80">
        <v>72.67</v>
      </c>
      <c r="L80">
        <v>208</v>
      </c>
      <c r="M80">
        <v>76.650000000000006</v>
      </c>
      <c r="N80">
        <v>1089.42</v>
      </c>
      <c r="O80">
        <v>0</v>
      </c>
      <c r="P80">
        <v>0</v>
      </c>
      <c r="R80">
        <v>76.45</v>
      </c>
      <c r="V80">
        <v>0</v>
      </c>
      <c r="W80">
        <v>0</v>
      </c>
      <c r="X80">
        <v>0</v>
      </c>
      <c r="Y80">
        <v>0</v>
      </c>
      <c r="Z80">
        <v>19</v>
      </c>
      <c r="AA80">
        <v>39.33</v>
      </c>
      <c r="AB80">
        <v>9</v>
      </c>
      <c r="AC80">
        <v>56.87</v>
      </c>
      <c r="AD80">
        <v>0</v>
      </c>
      <c r="AE80">
        <v>0</v>
      </c>
      <c r="AH80">
        <v>0</v>
      </c>
      <c r="AJ80">
        <v>96.97</v>
      </c>
      <c r="AN80">
        <v>216.86</v>
      </c>
      <c r="AO80">
        <v>0</v>
      </c>
      <c r="AP80">
        <v>-16.439999999999998</v>
      </c>
      <c r="AQ80">
        <v>26</v>
      </c>
      <c r="AR80">
        <v>151.38</v>
      </c>
      <c r="AS80">
        <v>92</v>
      </c>
      <c r="AT80">
        <v>522.97</v>
      </c>
      <c r="AU80">
        <v>16</v>
      </c>
      <c r="AV80">
        <v>118.12</v>
      </c>
      <c r="AW80">
        <v>3</v>
      </c>
      <c r="AX80">
        <v>28.2</v>
      </c>
      <c r="AY80">
        <v>24</v>
      </c>
      <c r="AZ80">
        <v>90.15</v>
      </c>
      <c r="BP80">
        <v>2</v>
      </c>
      <c r="BQ80">
        <v>29.52</v>
      </c>
      <c r="BR80">
        <v>27.1</v>
      </c>
      <c r="BS80">
        <v>1089.6199999999999</v>
      </c>
      <c r="BV80">
        <v>9.5199999999999818</v>
      </c>
      <c r="BW80">
        <v>9.52</v>
      </c>
      <c r="BZ80">
        <v>1</v>
      </c>
      <c r="CA80">
        <v>1</v>
      </c>
      <c r="CB80">
        <v>12.95</v>
      </c>
      <c r="CG80">
        <v>79</v>
      </c>
      <c r="CH80">
        <v>79</v>
      </c>
    </row>
    <row r="81" spans="1:86" x14ac:dyDescent="0.35">
      <c r="A81">
        <v>352613</v>
      </c>
      <c r="B81" s="2">
        <v>44204</v>
      </c>
      <c r="C81" s="2">
        <v>44204</v>
      </c>
      <c r="D81">
        <v>115</v>
      </c>
      <c r="E81">
        <v>405.95</v>
      </c>
      <c r="F81">
        <v>1866.1899999999998</v>
      </c>
      <c r="G81">
        <v>639.21</v>
      </c>
      <c r="H81">
        <v>655.76</v>
      </c>
      <c r="I81">
        <v>153.64000000000001</v>
      </c>
      <c r="J81">
        <v>3483.87</v>
      </c>
      <c r="K81">
        <v>309.92999999999995</v>
      </c>
      <c r="L81">
        <v>673</v>
      </c>
      <c r="M81">
        <v>319.10999999999996</v>
      </c>
      <c r="N81">
        <v>3624.49</v>
      </c>
      <c r="O81">
        <v>3</v>
      </c>
      <c r="P81">
        <v>14.97</v>
      </c>
      <c r="R81">
        <v>149.80000000000001</v>
      </c>
      <c r="V81">
        <v>1</v>
      </c>
      <c r="W81">
        <v>10</v>
      </c>
      <c r="X81">
        <v>0</v>
      </c>
      <c r="Y81">
        <v>0</v>
      </c>
      <c r="Z81">
        <v>115</v>
      </c>
      <c r="AA81">
        <v>492.45</v>
      </c>
      <c r="AB81">
        <v>17</v>
      </c>
      <c r="AC81">
        <v>49.16</v>
      </c>
      <c r="AD81">
        <v>91</v>
      </c>
      <c r="AE81">
        <v>98.62</v>
      </c>
      <c r="AH81">
        <v>0</v>
      </c>
      <c r="AJ81">
        <v>303.93</v>
      </c>
      <c r="AN81">
        <v>570</v>
      </c>
      <c r="AO81">
        <v>0</v>
      </c>
      <c r="AP81">
        <v>-368.1</v>
      </c>
      <c r="AQ81">
        <v>67</v>
      </c>
      <c r="AR81">
        <v>441.13</v>
      </c>
      <c r="AS81">
        <v>296</v>
      </c>
      <c r="AT81">
        <v>2058.9899999999998</v>
      </c>
      <c r="AU81">
        <v>25</v>
      </c>
      <c r="AV81">
        <v>183.64</v>
      </c>
      <c r="AW81">
        <v>5</v>
      </c>
      <c r="AX81">
        <v>34.840000000000003</v>
      </c>
      <c r="AY81">
        <v>80</v>
      </c>
      <c r="AZ81">
        <v>315.02</v>
      </c>
      <c r="BP81">
        <v>8</v>
      </c>
      <c r="BQ81">
        <v>98.35</v>
      </c>
      <c r="BR81">
        <v>83.29</v>
      </c>
      <c r="BS81">
        <v>3793.8</v>
      </c>
      <c r="BV81">
        <v>0</v>
      </c>
      <c r="BW81">
        <v>0</v>
      </c>
      <c r="BZ81">
        <v>1</v>
      </c>
      <c r="CA81">
        <v>3</v>
      </c>
      <c r="CB81">
        <v>37.659999999999997</v>
      </c>
      <c r="CG81">
        <v>80</v>
      </c>
      <c r="CH81">
        <v>80</v>
      </c>
    </row>
    <row r="82" spans="1:86" x14ac:dyDescent="0.35">
      <c r="A82">
        <v>350432</v>
      </c>
      <c r="B82" s="2">
        <v>44204</v>
      </c>
      <c r="C82" s="2">
        <v>44204</v>
      </c>
      <c r="D82">
        <v>185</v>
      </c>
      <c r="E82" s="1">
        <v>587.91999999999996</v>
      </c>
      <c r="F82" s="1">
        <v>2080.16</v>
      </c>
      <c r="G82" s="1">
        <v>570.92999999999995</v>
      </c>
      <c r="H82" s="1">
        <v>969.58</v>
      </c>
      <c r="I82" s="1">
        <v>153.6</v>
      </c>
      <c r="J82" s="1">
        <v>4096.3999999999996</v>
      </c>
      <c r="K82" s="1">
        <v>500.47</v>
      </c>
      <c r="L82">
        <v>775</v>
      </c>
      <c r="M82" s="1">
        <v>514.08000000000004</v>
      </c>
      <c r="N82" s="1">
        <v>4248.3999999999996</v>
      </c>
      <c r="O82">
        <v>2</v>
      </c>
      <c r="P82" s="1">
        <v>19.27</v>
      </c>
      <c r="Q82">
        <v>10</v>
      </c>
      <c r="R82" s="1">
        <v>2.85</v>
      </c>
      <c r="S82">
        <v>40</v>
      </c>
      <c r="T82" s="1">
        <v>83.54</v>
      </c>
      <c r="U82" s="1">
        <v>59.95</v>
      </c>
      <c r="V82">
        <v>3</v>
      </c>
      <c r="W82" s="1">
        <v>70</v>
      </c>
      <c r="X82">
        <v>17</v>
      </c>
      <c r="Y82" s="1">
        <v>0</v>
      </c>
      <c r="Z82">
        <v>174</v>
      </c>
      <c r="AA82" s="1">
        <v>483.08</v>
      </c>
      <c r="AB82">
        <v>26</v>
      </c>
      <c r="AC82" s="1">
        <v>56.16</v>
      </c>
      <c r="AD82">
        <v>4</v>
      </c>
      <c r="AE82" s="1">
        <v>5.95</v>
      </c>
      <c r="AF82" s="1">
        <v>0</v>
      </c>
      <c r="AG82" s="1">
        <v>0</v>
      </c>
      <c r="AH82" s="1">
        <v>0</v>
      </c>
      <c r="AI82" s="1">
        <v>0</v>
      </c>
      <c r="AJ82" s="1">
        <v>408.81</v>
      </c>
      <c r="AL82" s="1">
        <v>4596.87</v>
      </c>
      <c r="AM82" s="1">
        <v>0</v>
      </c>
      <c r="AN82" s="1">
        <v>952</v>
      </c>
      <c r="AO82" s="1">
        <v>0</v>
      </c>
      <c r="AP82" s="1">
        <v>73.61</v>
      </c>
      <c r="AQ82">
        <v>103</v>
      </c>
      <c r="AR82" s="1">
        <v>814.39</v>
      </c>
      <c r="AS82">
        <v>321</v>
      </c>
      <c r="AT82" s="1">
        <v>2199.87</v>
      </c>
      <c r="AU82">
        <v>34</v>
      </c>
      <c r="AV82" s="1">
        <v>254.98</v>
      </c>
      <c r="AW82">
        <v>9</v>
      </c>
      <c r="AX82" s="1">
        <v>64.89</v>
      </c>
      <c r="AY82">
        <v>74</v>
      </c>
      <c r="AZ82" s="1">
        <v>355.79</v>
      </c>
      <c r="BA82">
        <v>1</v>
      </c>
      <c r="BB82" s="1">
        <v>2.6</v>
      </c>
      <c r="BC82">
        <v>2</v>
      </c>
      <c r="BD82" s="1">
        <v>9.35</v>
      </c>
      <c r="BE82">
        <v>14</v>
      </c>
      <c r="BF82" s="1">
        <v>65</v>
      </c>
      <c r="BG82">
        <v>5</v>
      </c>
      <c r="BH82" s="1">
        <v>26.87</v>
      </c>
      <c r="BK82">
        <v>11</v>
      </c>
      <c r="BL82" s="1">
        <v>63.11</v>
      </c>
      <c r="BM82">
        <v>2</v>
      </c>
      <c r="BN82" s="1">
        <v>14.11</v>
      </c>
      <c r="BO82" s="1">
        <v>12.96</v>
      </c>
      <c r="BP82">
        <v>18</v>
      </c>
      <c r="BQ82" s="1">
        <v>256.79000000000002</v>
      </c>
      <c r="BR82" s="1">
        <v>212.71</v>
      </c>
      <c r="BZ82">
        <v>1</v>
      </c>
      <c r="CA82">
        <v>6</v>
      </c>
      <c r="CB82" s="1">
        <v>69.540000000000006</v>
      </c>
      <c r="CG82">
        <v>81</v>
      </c>
      <c r="CH82">
        <v>81</v>
      </c>
    </row>
    <row r="83" spans="1:86" x14ac:dyDescent="0.35">
      <c r="A83">
        <v>350437</v>
      </c>
      <c r="B83" s="2">
        <v>44204</v>
      </c>
      <c r="C83" s="2">
        <v>44204</v>
      </c>
      <c r="D83">
        <v>92</v>
      </c>
      <c r="E83" s="1">
        <v>305.01</v>
      </c>
      <c r="F83" s="1">
        <v>1179.22</v>
      </c>
      <c r="G83" s="1">
        <v>563.77</v>
      </c>
      <c r="H83" s="1">
        <v>730.4</v>
      </c>
      <c r="I83" s="1">
        <v>97.94</v>
      </c>
      <c r="J83" s="1">
        <v>2739.95</v>
      </c>
      <c r="K83" s="1">
        <v>0</v>
      </c>
      <c r="L83">
        <v>452</v>
      </c>
      <c r="M83" s="1">
        <v>0</v>
      </c>
      <c r="N83" s="1">
        <v>2838.18</v>
      </c>
      <c r="O83">
        <v>0</v>
      </c>
      <c r="P83" s="1">
        <v>0</v>
      </c>
      <c r="Q83">
        <v>6</v>
      </c>
      <c r="R83" s="1">
        <v>2.66</v>
      </c>
      <c r="S83">
        <v>18</v>
      </c>
      <c r="T83" s="1">
        <v>42.29</v>
      </c>
      <c r="U83" s="1">
        <v>53.28</v>
      </c>
      <c r="V83">
        <v>1</v>
      </c>
      <c r="W83" s="1">
        <v>20</v>
      </c>
      <c r="X83">
        <v>14</v>
      </c>
      <c r="Y83" s="1">
        <v>0</v>
      </c>
      <c r="Z83">
        <v>56</v>
      </c>
      <c r="AA83" s="1">
        <v>171.32</v>
      </c>
      <c r="AB83">
        <v>17</v>
      </c>
      <c r="AC83" s="1">
        <v>53.98</v>
      </c>
      <c r="AD83">
        <v>3</v>
      </c>
      <c r="AE83" s="1">
        <v>8.7799999999999994</v>
      </c>
      <c r="AF83" s="1">
        <v>0</v>
      </c>
      <c r="AG83" s="1">
        <v>0</v>
      </c>
      <c r="AH83" s="1">
        <v>0</v>
      </c>
      <c r="AI83" s="1">
        <v>0</v>
      </c>
      <c r="AJ83" s="1">
        <v>243.79</v>
      </c>
      <c r="AL83" s="1">
        <v>2739.95</v>
      </c>
      <c r="AM83" s="1">
        <v>0</v>
      </c>
      <c r="AN83" s="1">
        <v>526</v>
      </c>
      <c r="AO83" s="1">
        <v>0</v>
      </c>
      <c r="AP83" s="1">
        <v>2.73</v>
      </c>
      <c r="AQ83">
        <v>47</v>
      </c>
      <c r="AR83" s="1">
        <v>415.17</v>
      </c>
      <c r="AS83">
        <v>192</v>
      </c>
      <c r="AT83" s="1">
        <v>1212.31</v>
      </c>
      <c r="AU83">
        <v>42</v>
      </c>
      <c r="AV83" s="1">
        <v>315.60000000000002</v>
      </c>
      <c r="AW83">
        <v>4</v>
      </c>
      <c r="AX83" s="1">
        <v>26.38</v>
      </c>
      <c r="AY83">
        <v>52</v>
      </c>
      <c r="AZ83" s="1">
        <v>234.51</v>
      </c>
      <c r="BC83">
        <v>1</v>
      </c>
      <c r="BD83" s="1">
        <v>1.08</v>
      </c>
      <c r="BE83">
        <v>8</v>
      </c>
      <c r="BF83" s="1">
        <v>38.76</v>
      </c>
      <c r="BG83">
        <v>3</v>
      </c>
      <c r="BH83" s="1">
        <v>17.14</v>
      </c>
      <c r="BK83">
        <v>6</v>
      </c>
      <c r="BL83" s="1">
        <v>41.45</v>
      </c>
      <c r="BM83">
        <v>1</v>
      </c>
      <c r="BN83" s="1">
        <v>14.54</v>
      </c>
      <c r="BO83" s="1">
        <v>13.35</v>
      </c>
      <c r="BP83">
        <v>7</v>
      </c>
      <c r="BQ83" s="1">
        <v>95.4</v>
      </c>
      <c r="BR83" s="1">
        <v>87.61</v>
      </c>
      <c r="BZ83">
        <v>1</v>
      </c>
      <c r="CA83">
        <v>5</v>
      </c>
      <c r="CB83" s="1">
        <v>68.13</v>
      </c>
      <c r="CG83">
        <v>82</v>
      </c>
      <c r="CH83">
        <v>82</v>
      </c>
    </row>
    <row r="84" spans="1:86" x14ac:dyDescent="0.35">
      <c r="A84">
        <v>351323</v>
      </c>
      <c r="B84" s="2">
        <v>44204</v>
      </c>
      <c r="C84" s="2">
        <v>44204</v>
      </c>
      <c r="D84">
        <v>150</v>
      </c>
      <c r="E84" s="1">
        <v>485.44</v>
      </c>
      <c r="F84" s="1">
        <v>1846.57</v>
      </c>
      <c r="G84" s="1">
        <v>656.88</v>
      </c>
      <c r="H84" s="1">
        <v>887.46</v>
      </c>
      <c r="I84" s="1">
        <v>157.44</v>
      </c>
      <c r="J84" s="1">
        <v>3787.55</v>
      </c>
      <c r="K84" s="1">
        <v>372.77</v>
      </c>
      <c r="L84">
        <v>751</v>
      </c>
      <c r="M84" s="1">
        <v>379.59</v>
      </c>
      <c r="N84" s="1">
        <v>4035.03</v>
      </c>
      <c r="O84">
        <v>3</v>
      </c>
      <c r="P84" s="1">
        <v>22.56</v>
      </c>
      <c r="Q84">
        <v>10</v>
      </c>
      <c r="R84" s="1">
        <v>5.69</v>
      </c>
      <c r="S84">
        <v>62</v>
      </c>
      <c r="T84" s="1">
        <v>132.68</v>
      </c>
      <c r="U84" s="1">
        <v>93.37</v>
      </c>
      <c r="V84">
        <v>0</v>
      </c>
      <c r="W84" s="1">
        <v>0</v>
      </c>
      <c r="X84">
        <v>13</v>
      </c>
      <c r="Y84" s="1">
        <v>0</v>
      </c>
      <c r="Z84">
        <v>115</v>
      </c>
      <c r="AA84" s="1">
        <v>342.6</v>
      </c>
      <c r="AB84">
        <v>16</v>
      </c>
      <c r="AC84" s="1">
        <v>54.86</v>
      </c>
      <c r="AD84">
        <v>3</v>
      </c>
      <c r="AE84" s="1">
        <v>6.97</v>
      </c>
      <c r="AF84" s="1">
        <v>0</v>
      </c>
      <c r="AG84" s="1">
        <v>0</v>
      </c>
      <c r="AH84" s="1">
        <v>0</v>
      </c>
      <c r="AI84" s="1">
        <v>0</v>
      </c>
      <c r="AJ84" s="1">
        <v>249.47</v>
      </c>
      <c r="AL84" s="1">
        <v>4160.32</v>
      </c>
      <c r="AM84" s="1">
        <v>0</v>
      </c>
      <c r="AN84" s="1">
        <v>831</v>
      </c>
      <c r="AO84" s="1">
        <v>0</v>
      </c>
      <c r="AP84" s="1">
        <v>-3.66</v>
      </c>
      <c r="AQ84">
        <v>94</v>
      </c>
      <c r="AR84" s="1">
        <v>605.95000000000005</v>
      </c>
      <c r="AS84">
        <v>325</v>
      </c>
      <c r="AT84" s="1">
        <v>1978.8</v>
      </c>
      <c r="AU84">
        <v>18</v>
      </c>
      <c r="AV84" s="1">
        <v>154.77000000000001</v>
      </c>
      <c r="AW84">
        <v>6</v>
      </c>
      <c r="AX84" s="1">
        <v>53.66</v>
      </c>
      <c r="AY84">
        <v>122</v>
      </c>
      <c r="AZ84" s="1">
        <v>528.52</v>
      </c>
      <c r="BA84">
        <v>1</v>
      </c>
      <c r="BB84" s="1">
        <v>4.54</v>
      </c>
      <c r="BE84">
        <v>7</v>
      </c>
      <c r="BF84" s="1">
        <v>31.97</v>
      </c>
      <c r="BG84">
        <v>5</v>
      </c>
      <c r="BH84" s="1">
        <v>39.68</v>
      </c>
      <c r="BK84">
        <v>5</v>
      </c>
      <c r="BL84" s="1">
        <v>44.04</v>
      </c>
      <c r="BP84">
        <v>6</v>
      </c>
      <c r="BQ84" s="1">
        <v>67.680000000000007</v>
      </c>
      <c r="BR84" s="1">
        <v>63.86</v>
      </c>
      <c r="BZ84">
        <v>1</v>
      </c>
      <c r="CA84">
        <v>3</v>
      </c>
      <c r="CB84" s="1">
        <v>65.52</v>
      </c>
      <c r="CG84">
        <v>83</v>
      </c>
      <c r="CH84">
        <v>83</v>
      </c>
    </row>
    <row r="85" spans="1:86" x14ac:dyDescent="0.35">
      <c r="A85">
        <v>353927</v>
      </c>
      <c r="B85" s="2">
        <v>44204</v>
      </c>
      <c r="C85" s="2">
        <v>44204</v>
      </c>
      <c r="D85">
        <v>159</v>
      </c>
      <c r="E85" s="1">
        <v>573.66999999999996</v>
      </c>
      <c r="F85" s="1">
        <v>1796.13</v>
      </c>
      <c r="G85" s="1">
        <v>554.03</v>
      </c>
      <c r="H85" s="1">
        <v>793.64</v>
      </c>
      <c r="I85" s="1">
        <v>134.96</v>
      </c>
      <c r="J85" s="1">
        <v>3494.77</v>
      </c>
      <c r="K85" s="1">
        <v>0</v>
      </c>
      <c r="L85">
        <v>606</v>
      </c>
      <c r="M85" s="1">
        <v>0</v>
      </c>
      <c r="N85" s="1">
        <v>3641.11</v>
      </c>
      <c r="O85">
        <v>0</v>
      </c>
      <c r="P85" s="1">
        <v>0</v>
      </c>
      <c r="Q85">
        <v>5</v>
      </c>
      <c r="R85" s="1">
        <v>7.53</v>
      </c>
      <c r="S85">
        <v>50</v>
      </c>
      <c r="T85" s="1">
        <v>66.91</v>
      </c>
      <c r="U85" s="1">
        <v>71.900000000000006</v>
      </c>
      <c r="V85">
        <v>0</v>
      </c>
      <c r="W85" s="1">
        <v>0</v>
      </c>
      <c r="X85">
        <v>13</v>
      </c>
      <c r="Y85" s="1">
        <v>0</v>
      </c>
      <c r="Z85">
        <v>76</v>
      </c>
      <c r="AA85" s="1">
        <v>237.1</v>
      </c>
      <c r="AB85">
        <v>10</v>
      </c>
      <c r="AC85" s="1">
        <v>36.65</v>
      </c>
      <c r="AD85">
        <v>4</v>
      </c>
      <c r="AE85" s="1">
        <v>0</v>
      </c>
      <c r="AF85" s="1">
        <v>15</v>
      </c>
      <c r="AG85" s="1">
        <v>15</v>
      </c>
      <c r="AH85" s="1">
        <v>0</v>
      </c>
      <c r="AI85" s="1">
        <v>0</v>
      </c>
      <c r="AJ85" s="1">
        <v>209.54</v>
      </c>
      <c r="AL85" s="1">
        <v>3494.77</v>
      </c>
      <c r="AM85" s="1">
        <v>15</v>
      </c>
      <c r="AN85" s="1">
        <v>721</v>
      </c>
      <c r="AO85" s="1">
        <v>0</v>
      </c>
      <c r="AP85" s="1">
        <v>1.21</v>
      </c>
      <c r="AQ85">
        <v>91</v>
      </c>
      <c r="AR85" s="1">
        <v>585.55999999999995</v>
      </c>
      <c r="AS85">
        <v>245</v>
      </c>
      <c r="AT85" s="1">
        <v>1648.44</v>
      </c>
      <c r="AU85">
        <v>5</v>
      </c>
      <c r="AV85" s="1">
        <v>43.47</v>
      </c>
      <c r="AW85">
        <v>6</v>
      </c>
      <c r="AX85" s="1">
        <v>34.24</v>
      </c>
      <c r="AY85">
        <v>86</v>
      </c>
      <c r="AZ85" s="1">
        <v>316.13</v>
      </c>
      <c r="BE85">
        <v>21</v>
      </c>
      <c r="BF85" s="1">
        <v>80.23</v>
      </c>
      <c r="BG85">
        <v>1</v>
      </c>
      <c r="BH85" s="1">
        <v>4.34</v>
      </c>
      <c r="BK85">
        <v>9</v>
      </c>
      <c r="BL85" s="1">
        <v>78.430000000000007</v>
      </c>
      <c r="BP85">
        <v>4</v>
      </c>
      <c r="BQ85" s="1">
        <v>74.23</v>
      </c>
      <c r="BR85" s="1">
        <v>70.02</v>
      </c>
      <c r="BZ85">
        <v>1</v>
      </c>
      <c r="CA85">
        <v>11</v>
      </c>
      <c r="CB85" s="1">
        <v>134.44999999999999</v>
      </c>
      <c r="CG85">
        <v>84</v>
      </c>
      <c r="CH85">
        <v>84</v>
      </c>
    </row>
    <row r="86" spans="1:86" x14ac:dyDescent="0.35">
      <c r="A86">
        <v>354030</v>
      </c>
      <c r="B86" s="2">
        <v>44204</v>
      </c>
      <c r="C86" s="2">
        <v>44204</v>
      </c>
      <c r="D86">
        <v>141</v>
      </c>
      <c r="E86" s="1">
        <v>482.56</v>
      </c>
      <c r="F86" s="1">
        <v>1488.63</v>
      </c>
      <c r="G86" s="1">
        <v>710.04</v>
      </c>
      <c r="H86" s="1">
        <v>554.91</v>
      </c>
      <c r="I86" s="1">
        <v>115.9</v>
      </c>
      <c r="J86" s="1">
        <v>3053.83</v>
      </c>
      <c r="K86" s="1">
        <v>211.37</v>
      </c>
      <c r="L86">
        <v>525</v>
      </c>
      <c r="M86" s="1">
        <v>220.13</v>
      </c>
      <c r="N86" s="1">
        <v>3164.23</v>
      </c>
      <c r="O86">
        <v>0</v>
      </c>
      <c r="P86" s="1">
        <v>0</v>
      </c>
      <c r="Q86">
        <v>9</v>
      </c>
      <c r="R86" s="1">
        <v>4.6399999999999997</v>
      </c>
      <c r="S86">
        <v>17</v>
      </c>
      <c r="T86" s="1">
        <v>36.99</v>
      </c>
      <c r="U86" s="1">
        <v>77.53</v>
      </c>
      <c r="V86">
        <v>0</v>
      </c>
      <c r="W86" s="1">
        <v>0</v>
      </c>
      <c r="X86">
        <v>7</v>
      </c>
      <c r="Y86" s="1">
        <v>0</v>
      </c>
      <c r="Z86">
        <v>88</v>
      </c>
      <c r="AA86" s="1">
        <v>254.74</v>
      </c>
      <c r="AB86">
        <v>4</v>
      </c>
      <c r="AC86" s="1">
        <v>10.16</v>
      </c>
      <c r="AD86">
        <v>3</v>
      </c>
      <c r="AE86" s="1">
        <v>5.5</v>
      </c>
      <c r="AF86" s="1">
        <v>0</v>
      </c>
      <c r="AG86" s="1">
        <v>0</v>
      </c>
      <c r="AH86" s="1">
        <v>0</v>
      </c>
      <c r="AI86" s="1">
        <v>0</v>
      </c>
      <c r="AJ86" s="1">
        <v>195.88</v>
      </c>
      <c r="AL86" s="1">
        <v>3265.2</v>
      </c>
      <c r="AM86" s="1">
        <v>0</v>
      </c>
      <c r="AN86" s="1">
        <v>440</v>
      </c>
      <c r="AO86" s="1">
        <v>9.64</v>
      </c>
      <c r="AP86" s="1">
        <v>5.8</v>
      </c>
      <c r="AQ86">
        <v>73</v>
      </c>
      <c r="AR86" s="1">
        <v>522.22</v>
      </c>
      <c r="AS86">
        <v>231</v>
      </c>
      <c r="AT86" s="1">
        <v>1651.19</v>
      </c>
      <c r="AU86">
        <v>8</v>
      </c>
      <c r="AV86" s="1">
        <v>62.68</v>
      </c>
      <c r="AW86">
        <v>3</v>
      </c>
      <c r="AX86" s="1">
        <v>11.8</v>
      </c>
      <c r="AY86">
        <v>106</v>
      </c>
      <c r="AZ86" s="1">
        <v>486.89</v>
      </c>
      <c r="BC86">
        <v>1</v>
      </c>
      <c r="BD86" s="1">
        <v>5.3</v>
      </c>
      <c r="BE86">
        <v>21</v>
      </c>
      <c r="BF86" s="1">
        <v>155.75</v>
      </c>
      <c r="BK86">
        <v>8</v>
      </c>
      <c r="BL86" s="1">
        <v>66.98</v>
      </c>
      <c r="BM86">
        <v>4</v>
      </c>
      <c r="BN86" s="1">
        <v>25.59</v>
      </c>
      <c r="BO86" s="1">
        <v>24.14</v>
      </c>
      <c r="BZ86">
        <v>1</v>
      </c>
      <c r="CA86">
        <v>3</v>
      </c>
      <c r="CB86" s="1">
        <v>28.84</v>
      </c>
      <c r="CG86">
        <v>85</v>
      </c>
      <c r="CH86">
        <v>85</v>
      </c>
    </row>
    <row r="87" spans="1:86" x14ac:dyDescent="0.35">
      <c r="A87">
        <v>355439</v>
      </c>
      <c r="B87" s="2">
        <v>44204</v>
      </c>
      <c r="C87" s="2">
        <v>44204</v>
      </c>
      <c r="D87">
        <v>231</v>
      </c>
      <c r="E87" s="1">
        <v>772.21</v>
      </c>
      <c r="F87" s="1">
        <v>2280.6999999999998</v>
      </c>
      <c r="G87" s="1">
        <v>773.66</v>
      </c>
      <c r="H87" s="1">
        <v>888.86</v>
      </c>
      <c r="I87" s="1">
        <v>142.83000000000001</v>
      </c>
      <c r="J87" s="1">
        <v>4364.62</v>
      </c>
      <c r="K87" s="1">
        <v>0</v>
      </c>
      <c r="L87">
        <v>800</v>
      </c>
      <c r="M87" s="1">
        <v>0</v>
      </c>
      <c r="N87" s="1">
        <v>4531.67</v>
      </c>
      <c r="O87">
        <v>3</v>
      </c>
      <c r="P87" s="1">
        <v>15.16</v>
      </c>
      <c r="Q87">
        <v>11</v>
      </c>
      <c r="R87" s="1">
        <v>6.26</v>
      </c>
      <c r="S87">
        <v>47</v>
      </c>
      <c r="T87" s="1">
        <v>92.15</v>
      </c>
      <c r="U87" s="1">
        <v>53.48</v>
      </c>
      <c r="V87">
        <v>3</v>
      </c>
      <c r="W87" s="1">
        <v>54</v>
      </c>
      <c r="X87">
        <v>16</v>
      </c>
      <c r="Y87" s="1">
        <v>0</v>
      </c>
      <c r="Z87">
        <v>117</v>
      </c>
      <c r="AA87" s="1">
        <v>338.38</v>
      </c>
      <c r="AB87">
        <v>12</v>
      </c>
      <c r="AC87" s="1">
        <v>38.08</v>
      </c>
      <c r="AD87">
        <v>4</v>
      </c>
      <c r="AE87" s="1">
        <v>7.32</v>
      </c>
      <c r="AF87" s="1">
        <v>0</v>
      </c>
      <c r="AG87" s="1">
        <v>0</v>
      </c>
      <c r="AH87" s="1">
        <v>0</v>
      </c>
      <c r="AI87" s="1">
        <v>0</v>
      </c>
      <c r="AJ87" s="1">
        <v>349.49</v>
      </c>
      <c r="AL87" s="1">
        <v>4364.62</v>
      </c>
      <c r="AM87" s="1">
        <v>0</v>
      </c>
      <c r="AN87" s="1">
        <v>809</v>
      </c>
      <c r="AO87" s="1">
        <v>0</v>
      </c>
      <c r="AP87" s="1">
        <v>3.42</v>
      </c>
      <c r="AQ87">
        <v>93</v>
      </c>
      <c r="AR87" s="1">
        <v>553.05999999999995</v>
      </c>
      <c r="AS87">
        <v>369</v>
      </c>
      <c r="AT87" s="1">
        <v>2326.84</v>
      </c>
      <c r="AU87">
        <v>34</v>
      </c>
      <c r="AV87" s="1">
        <v>302.89</v>
      </c>
      <c r="AW87">
        <v>5</v>
      </c>
      <c r="AX87" s="1">
        <v>40.450000000000003</v>
      </c>
      <c r="AY87">
        <v>94</v>
      </c>
      <c r="AZ87" s="1">
        <v>354.86</v>
      </c>
      <c r="BA87">
        <v>2</v>
      </c>
      <c r="BB87" s="1">
        <v>23.3</v>
      </c>
      <c r="BC87">
        <v>3</v>
      </c>
      <c r="BD87" s="1">
        <v>15.22</v>
      </c>
      <c r="BE87">
        <v>17</v>
      </c>
      <c r="BF87" s="1">
        <v>118.65</v>
      </c>
      <c r="BG87">
        <v>8</v>
      </c>
      <c r="BH87" s="1">
        <v>37.630000000000003</v>
      </c>
      <c r="BK87">
        <v>9</v>
      </c>
      <c r="BL87" s="1">
        <v>70.3</v>
      </c>
      <c r="BM87">
        <v>1</v>
      </c>
      <c r="BN87" s="1">
        <v>17.100000000000001</v>
      </c>
      <c r="BO87" s="1">
        <v>15.83</v>
      </c>
      <c r="BP87">
        <v>2</v>
      </c>
      <c r="BQ87" s="1">
        <v>64.34</v>
      </c>
      <c r="BR87" s="1">
        <v>59.57</v>
      </c>
      <c r="BZ87">
        <v>1</v>
      </c>
      <c r="CA87">
        <v>4</v>
      </c>
      <c r="CB87" s="1">
        <v>37.89</v>
      </c>
      <c r="CG87">
        <v>86</v>
      </c>
      <c r="CH87">
        <v>86</v>
      </c>
    </row>
    <row r="88" spans="1:86" x14ac:dyDescent="0.35">
      <c r="A88">
        <v>350432</v>
      </c>
      <c r="B88" s="2">
        <v>44199</v>
      </c>
      <c r="C88" s="2">
        <v>44205</v>
      </c>
      <c r="D88">
        <v>1158</v>
      </c>
      <c r="E88" s="1">
        <v>3746.79</v>
      </c>
      <c r="F88" s="1">
        <v>13638.59</v>
      </c>
      <c r="G88" s="1">
        <v>3821.16</v>
      </c>
      <c r="H88" s="1">
        <v>6786.93</v>
      </c>
      <c r="I88" s="1">
        <v>871.33</v>
      </c>
      <c r="J88" s="1">
        <v>27065.25</v>
      </c>
      <c r="K88" s="1">
        <v>3634.81</v>
      </c>
      <c r="L88">
        <v>5085</v>
      </c>
      <c r="M88" s="1">
        <v>3704.01</v>
      </c>
      <c r="N88" s="1">
        <v>27983.040000000001</v>
      </c>
      <c r="O88">
        <v>6</v>
      </c>
      <c r="P88" s="1">
        <v>50.03</v>
      </c>
      <c r="Q88">
        <v>85</v>
      </c>
      <c r="R88" s="1">
        <v>41.69</v>
      </c>
      <c r="S88">
        <v>222</v>
      </c>
      <c r="T88" s="1">
        <v>449.04</v>
      </c>
      <c r="U88" s="1">
        <v>446.23</v>
      </c>
      <c r="V88">
        <v>7</v>
      </c>
      <c r="W88" s="1">
        <v>150</v>
      </c>
      <c r="X88">
        <v>122</v>
      </c>
      <c r="Y88" s="1">
        <v>0</v>
      </c>
      <c r="Z88">
        <v>1025</v>
      </c>
      <c r="AA88" s="1">
        <v>3531.01</v>
      </c>
      <c r="AB88">
        <v>168</v>
      </c>
      <c r="AC88" s="1">
        <v>424.94</v>
      </c>
      <c r="AD88">
        <v>35</v>
      </c>
      <c r="AE88" s="1">
        <v>138.58000000000001</v>
      </c>
      <c r="AF88" s="1">
        <v>0</v>
      </c>
      <c r="AG88" s="1">
        <v>0</v>
      </c>
      <c r="AH88" s="1">
        <v>0</v>
      </c>
      <c r="AI88" s="1">
        <v>0</v>
      </c>
      <c r="AJ88" s="1">
        <v>2312.9</v>
      </c>
      <c r="AL88" s="1">
        <v>30700.06</v>
      </c>
      <c r="AM88" s="1">
        <v>0</v>
      </c>
      <c r="AN88" s="1">
        <v>4838</v>
      </c>
      <c r="AO88" s="1">
        <v>284.49</v>
      </c>
      <c r="AP88" s="1">
        <v>10.98</v>
      </c>
      <c r="AQ88">
        <v>600</v>
      </c>
      <c r="AR88" s="1">
        <v>4374.29</v>
      </c>
      <c r="AS88">
        <v>2164</v>
      </c>
      <c r="AT88" s="1">
        <v>14732.88</v>
      </c>
      <c r="AU88">
        <v>251</v>
      </c>
      <c r="AV88" s="1">
        <v>1922.89</v>
      </c>
      <c r="AW88">
        <v>56</v>
      </c>
      <c r="AX88" s="1">
        <v>384.86</v>
      </c>
      <c r="AY88">
        <v>530</v>
      </c>
      <c r="AZ88" s="1">
        <v>2492.0300000000002</v>
      </c>
      <c r="BA88">
        <v>6</v>
      </c>
      <c r="BB88" s="1">
        <v>83.19</v>
      </c>
      <c r="BC88">
        <v>13</v>
      </c>
      <c r="BD88" s="1">
        <v>68.66</v>
      </c>
      <c r="BE88">
        <v>95</v>
      </c>
      <c r="BF88" s="1">
        <v>414.53</v>
      </c>
      <c r="BG88">
        <v>28</v>
      </c>
      <c r="BH88" s="1">
        <v>118.37</v>
      </c>
      <c r="BI88">
        <v>3</v>
      </c>
      <c r="BJ88" s="1">
        <v>37.1</v>
      </c>
      <c r="BK88">
        <v>53</v>
      </c>
      <c r="BL88" s="1">
        <v>310.51</v>
      </c>
      <c r="BM88">
        <v>4</v>
      </c>
      <c r="BN88" s="1">
        <v>48.72</v>
      </c>
      <c r="BO88" s="1">
        <v>44.74</v>
      </c>
      <c r="BP88">
        <v>125</v>
      </c>
      <c r="BQ88" s="1">
        <v>1672.76</v>
      </c>
      <c r="BR88" s="1">
        <v>1559.46</v>
      </c>
      <c r="CA88">
        <v>42</v>
      </c>
      <c r="CB88" s="1">
        <v>458.44</v>
      </c>
      <c r="CG88">
        <v>87</v>
      </c>
      <c r="CH88">
        <v>87</v>
      </c>
    </row>
    <row r="89" spans="1:86" x14ac:dyDescent="0.35">
      <c r="A89">
        <v>350437</v>
      </c>
      <c r="B89" s="2">
        <v>44199</v>
      </c>
      <c r="C89" s="2">
        <v>44205</v>
      </c>
      <c r="D89">
        <v>649</v>
      </c>
      <c r="E89" s="1">
        <v>2100.9</v>
      </c>
      <c r="F89" s="1">
        <v>8043.4</v>
      </c>
      <c r="G89" s="1">
        <v>3083.31</v>
      </c>
      <c r="H89" s="1">
        <v>4070.87</v>
      </c>
      <c r="I89" s="1">
        <v>619.66</v>
      </c>
      <c r="J89" s="1">
        <v>17031.88</v>
      </c>
      <c r="K89" s="1">
        <v>0</v>
      </c>
      <c r="L89">
        <v>2895</v>
      </c>
      <c r="M89" s="1">
        <v>0</v>
      </c>
      <c r="N89" s="1">
        <v>17618.12</v>
      </c>
      <c r="O89">
        <v>2</v>
      </c>
      <c r="P89" s="1">
        <v>7.04</v>
      </c>
      <c r="Q89">
        <v>37</v>
      </c>
      <c r="R89" s="1">
        <v>19.649999999999999</v>
      </c>
      <c r="S89">
        <v>102</v>
      </c>
      <c r="T89" s="1">
        <v>252.1</v>
      </c>
      <c r="U89" s="1">
        <v>307.45</v>
      </c>
      <c r="V89">
        <v>5</v>
      </c>
      <c r="W89" s="1">
        <v>60</v>
      </c>
      <c r="X89">
        <v>93</v>
      </c>
      <c r="Y89" s="1">
        <v>0</v>
      </c>
      <c r="Z89">
        <v>414</v>
      </c>
      <c r="AA89" s="1">
        <v>1181.25</v>
      </c>
      <c r="AB89">
        <v>48</v>
      </c>
      <c r="AC89" s="1">
        <v>136.19</v>
      </c>
      <c r="AD89">
        <v>21</v>
      </c>
      <c r="AE89" s="1">
        <v>71.069999999999993</v>
      </c>
      <c r="AF89" s="1">
        <v>1</v>
      </c>
      <c r="AG89" s="1">
        <v>1</v>
      </c>
      <c r="AH89" s="1">
        <v>0</v>
      </c>
      <c r="AI89" s="1">
        <v>0</v>
      </c>
      <c r="AJ89" s="1">
        <v>1017.89</v>
      </c>
      <c r="AL89" s="1">
        <v>17031.88</v>
      </c>
      <c r="AM89" s="1">
        <v>1</v>
      </c>
      <c r="AN89" s="1">
        <v>1994</v>
      </c>
      <c r="AO89" s="1">
        <v>0</v>
      </c>
      <c r="AP89" s="1">
        <v>-75.47</v>
      </c>
      <c r="AQ89">
        <v>330</v>
      </c>
      <c r="AR89" s="1">
        <v>2361.39</v>
      </c>
      <c r="AS89">
        <v>1192</v>
      </c>
      <c r="AT89" s="1">
        <v>7777.64</v>
      </c>
      <c r="AU89">
        <v>271</v>
      </c>
      <c r="AV89" s="1">
        <v>1830.47</v>
      </c>
      <c r="AW89">
        <v>28</v>
      </c>
      <c r="AX89" s="1">
        <v>245.18</v>
      </c>
      <c r="AY89">
        <v>329</v>
      </c>
      <c r="AZ89" s="1">
        <v>1487.02</v>
      </c>
      <c r="BA89">
        <v>5</v>
      </c>
      <c r="BB89" s="1">
        <v>3.04</v>
      </c>
      <c r="BC89">
        <v>9</v>
      </c>
      <c r="BD89" s="1">
        <v>26.95</v>
      </c>
      <c r="BE89">
        <v>69</v>
      </c>
      <c r="BF89" s="1">
        <v>268.33999999999997</v>
      </c>
      <c r="BG89">
        <v>7</v>
      </c>
      <c r="BH89" s="1">
        <v>32.44</v>
      </c>
      <c r="BK89">
        <v>34</v>
      </c>
      <c r="BL89" s="1">
        <v>179.73</v>
      </c>
      <c r="BM89">
        <v>6</v>
      </c>
      <c r="BN89" s="1">
        <v>84.94</v>
      </c>
      <c r="BO89" s="1">
        <v>91.35</v>
      </c>
      <c r="BP89">
        <v>46</v>
      </c>
      <c r="BQ89" s="1">
        <v>304.39</v>
      </c>
      <c r="BR89" s="1">
        <v>504.92</v>
      </c>
      <c r="CA89">
        <v>27</v>
      </c>
      <c r="CB89" s="1">
        <v>286.20999999999998</v>
      </c>
      <c r="CG89">
        <v>88</v>
      </c>
      <c r="CH89">
        <v>88</v>
      </c>
    </row>
    <row r="90" spans="1:86" x14ac:dyDescent="0.35">
      <c r="A90">
        <v>351323</v>
      </c>
      <c r="B90" s="2">
        <v>44199</v>
      </c>
      <c r="C90" s="2">
        <v>44205</v>
      </c>
      <c r="D90">
        <v>963</v>
      </c>
      <c r="E90" s="1">
        <v>3222.61</v>
      </c>
      <c r="F90" s="1">
        <v>11797.77</v>
      </c>
      <c r="G90" s="1">
        <v>3828.09</v>
      </c>
      <c r="H90" s="1">
        <v>4884.91</v>
      </c>
      <c r="I90" s="1">
        <v>803.49</v>
      </c>
      <c r="J90" s="1">
        <v>22642.83</v>
      </c>
      <c r="K90" s="1">
        <v>2411.61</v>
      </c>
      <c r="L90">
        <v>4368</v>
      </c>
      <c r="M90" s="1">
        <v>2453.52</v>
      </c>
      <c r="N90" s="1">
        <v>23756.36</v>
      </c>
      <c r="O90">
        <v>9</v>
      </c>
      <c r="P90" s="1">
        <v>54.84</v>
      </c>
      <c r="Q90">
        <v>62</v>
      </c>
      <c r="R90" s="1">
        <v>22.06</v>
      </c>
      <c r="S90">
        <v>345</v>
      </c>
      <c r="T90" s="1">
        <v>624.65</v>
      </c>
      <c r="U90" s="1">
        <v>453.89</v>
      </c>
      <c r="V90">
        <v>5</v>
      </c>
      <c r="W90" s="1">
        <v>80</v>
      </c>
      <c r="X90">
        <v>89</v>
      </c>
      <c r="Y90" s="1">
        <v>0</v>
      </c>
      <c r="Z90">
        <v>748</v>
      </c>
      <c r="AA90" s="1">
        <v>2747.33</v>
      </c>
      <c r="AB90">
        <v>121</v>
      </c>
      <c r="AC90" s="1">
        <v>325.87</v>
      </c>
      <c r="AD90">
        <v>31</v>
      </c>
      <c r="AE90" s="1">
        <v>62.54</v>
      </c>
      <c r="AF90" s="1">
        <v>0</v>
      </c>
      <c r="AG90" s="1">
        <v>0</v>
      </c>
      <c r="AH90" s="1">
        <v>0</v>
      </c>
      <c r="AI90" s="1">
        <v>0</v>
      </c>
      <c r="AJ90" s="1">
        <v>996.94</v>
      </c>
      <c r="AL90" s="1">
        <v>25054.44</v>
      </c>
      <c r="AM90" s="1">
        <v>0</v>
      </c>
      <c r="AN90" s="1">
        <v>3142</v>
      </c>
      <c r="AO90" s="1">
        <v>9.06</v>
      </c>
      <c r="AP90" s="1">
        <v>-599.72</v>
      </c>
      <c r="AQ90">
        <v>626</v>
      </c>
      <c r="AR90" s="1">
        <v>4167.13</v>
      </c>
      <c r="AS90">
        <v>1811</v>
      </c>
      <c r="AT90" s="1">
        <v>12048.59</v>
      </c>
      <c r="AU90">
        <v>99</v>
      </c>
      <c r="AV90" s="1">
        <v>730.98</v>
      </c>
      <c r="AW90">
        <v>47</v>
      </c>
      <c r="AX90" s="1">
        <v>346.21</v>
      </c>
      <c r="AY90">
        <v>657</v>
      </c>
      <c r="AZ90" s="1">
        <v>2665.13</v>
      </c>
      <c r="BA90">
        <v>4</v>
      </c>
      <c r="BB90" s="1">
        <v>9.92</v>
      </c>
      <c r="BC90">
        <v>5</v>
      </c>
      <c r="BD90" s="1">
        <v>27.4</v>
      </c>
      <c r="BE90">
        <v>72</v>
      </c>
      <c r="BF90" s="1">
        <v>227.97</v>
      </c>
      <c r="BG90">
        <v>16</v>
      </c>
      <c r="BH90" s="1">
        <v>27.13</v>
      </c>
      <c r="BI90">
        <v>4</v>
      </c>
      <c r="BJ90" s="1">
        <v>170.61</v>
      </c>
      <c r="BK90">
        <v>34</v>
      </c>
      <c r="BL90" s="1">
        <v>99.66</v>
      </c>
      <c r="BM90">
        <v>6</v>
      </c>
      <c r="BN90" s="1">
        <v>53.69</v>
      </c>
      <c r="BO90" s="1">
        <v>59.83</v>
      </c>
      <c r="BP90">
        <v>22</v>
      </c>
      <c r="BQ90" s="1">
        <v>153.56</v>
      </c>
      <c r="BR90" s="1">
        <v>249.33</v>
      </c>
      <c r="CA90">
        <v>15</v>
      </c>
      <c r="CB90" s="1">
        <v>101.33</v>
      </c>
      <c r="CG90">
        <v>89</v>
      </c>
      <c r="CH90">
        <v>89</v>
      </c>
    </row>
    <row r="91" spans="1:86" x14ac:dyDescent="0.35">
      <c r="A91">
        <v>353927</v>
      </c>
      <c r="B91" s="2">
        <v>44199</v>
      </c>
      <c r="C91" s="2">
        <v>44205</v>
      </c>
      <c r="D91">
        <v>978</v>
      </c>
      <c r="E91" s="1">
        <v>3350.72</v>
      </c>
      <c r="F91" s="1">
        <v>11165.92</v>
      </c>
      <c r="G91" s="1">
        <v>4033.86</v>
      </c>
      <c r="H91" s="1">
        <v>5146.21</v>
      </c>
      <c r="I91" s="1">
        <v>833.76</v>
      </c>
      <c r="J91" s="1">
        <v>22526.799999999999</v>
      </c>
      <c r="K91" s="1">
        <v>0</v>
      </c>
      <c r="L91">
        <v>3769</v>
      </c>
      <c r="M91" s="1">
        <v>0</v>
      </c>
      <c r="N91" s="1">
        <v>23542.53</v>
      </c>
      <c r="O91">
        <v>3</v>
      </c>
      <c r="P91" s="1">
        <v>22.08</v>
      </c>
      <c r="Q91">
        <v>33</v>
      </c>
      <c r="R91" s="1">
        <v>21.43</v>
      </c>
      <c r="S91">
        <v>319</v>
      </c>
      <c r="T91" s="1">
        <v>498.22</v>
      </c>
      <c r="U91" s="1">
        <v>474</v>
      </c>
      <c r="V91">
        <v>4</v>
      </c>
      <c r="W91" s="1">
        <v>65</v>
      </c>
      <c r="X91">
        <v>68</v>
      </c>
      <c r="Y91" s="1">
        <v>0</v>
      </c>
      <c r="Z91">
        <v>628</v>
      </c>
      <c r="AA91" s="1">
        <v>1926.15</v>
      </c>
      <c r="AB91">
        <v>68</v>
      </c>
      <c r="AC91" s="1">
        <v>194.1</v>
      </c>
      <c r="AD91">
        <v>29</v>
      </c>
      <c r="AE91" s="1">
        <v>54.71</v>
      </c>
      <c r="AF91" s="1">
        <v>15</v>
      </c>
      <c r="AG91" s="1">
        <v>15</v>
      </c>
      <c r="AH91" s="1">
        <v>0</v>
      </c>
      <c r="AI91" s="1">
        <v>0</v>
      </c>
      <c r="AJ91" s="1">
        <v>359.31</v>
      </c>
      <c r="AL91" s="1">
        <v>22526.799999999999</v>
      </c>
      <c r="AM91" s="1">
        <v>15</v>
      </c>
      <c r="AN91" s="1">
        <v>1331</v>
      </c>
      <c r="AO91" s="1">
        <v>0</v>
      </c>
      <c r="AP91" s="1">
        <v>1.07</v>
      </c>
      <c r="AQ91">
        <v>557</v>
      </c>
      <c r="AR91" s="1">
        <v>3571.78</v>
      </c>
      <c r="AS91">
        <v>1583</v>
      </c>
      <c r="AT91" s="1">
        <v>10938.76</v>
      </c>
      <c r="AU91">
        <v>55</v>
      </c>
      <c r="AV91" s="1">
        <v>339.41</v>
      </c>
      <c r="AW91">
        <v>29</v>
      </c>
      <c r="AX91" s="1">
        <v>239.72</v>
      </c>
      <c r="AY91">
        <v>527</v>
      </c>
      <c r="AZ91" s="1">
        <v>2177.33</v>
      </c>
      <c r="BA91">
        <v>1</v>
      </c>
      <c r="BB91" s="1">
        <v>8.02</v>
      </c>
      <c r="BE91">
        <v>104</v>
      </c>
      <c r="BF91" s="1">
        <v>147.22</v>
      </c>
      <c r="BG91">
        <v>11</v>
      </c>
      <c r="BH91" s="1">
        <v>108.11</v>
      </c>
      <c r="BK91">
        <v>33</v>
      </c>
      <c r="BL91" s="1">
        <v>56.56</v>
      </c>
      <c r="BM91">
        <v>2</v>
      </c>
      <c r="BN91" s="1">
        <v>28.86</v>
      </c>
      <c r="BO91" s="1">
        <v>39.369999999999997</v>
      </c>
      <c r="BP91">
        <v>23</v>
      </c>
      <c r="BQ91" s="1">
        <v>86.49</v>
      </c>
      <c r="BR91" s="1">
        <v>302.56</v>
      </c>
      <c r="CA91">
        <v>44</v>
      </c>
      <c r="CB91" s="1">
        <v>137.97</v>
      </c>
      <c r="CG91">
        <v>90</v>
      </c>
      <c r="CH91">
        <v>90</v>
      </c>
    </row>
    <row r="92" spans="1:86" x14ac:dyDescent="0.35">
      <c r="A92">
        <v>354030</v>
      </c>
      <c r="B92" s="2">
        <v>44199</v>
      </c>
      <c r="C92" s="2">
        <v>44205</v>
      </c>
      <c r="D92">
        <v>895</v>
      </c>
      <c r="E92" s="1">
        <v>3113.62</v>
      </c>
      <c r="F92" s="1">
        <v>9693.4</v>
      </c>
      <c r="G92" s="1">
        <v>4026.39</v>
      </c>
      <c r="H92" s="1">
        <v>3894.79</v>
      </c>
      <c r="I92" s="1">
        <v>752.18</v>
      </c>
      <c r="J92" s="1">
        <v>19633.57</v>
      </c>
      <c r="K92" s="1">
        <v>964.81</v>
      </c>
      <c r="L92">
        <v>3303</v>
      </c>
      <c r="M92" s="1">
        <v>984.52</v>
      </c>
      <c r="N92" s="1">
        <v>20532.77</v>
      </c>
      <c r="O92">
        <v>7</v>
      </c>
      <c r="P92" s="1">
        <v>34.11</v>
      </c>
      <c r="Q92">
        <v>36</v>
      </c>
      <c r="R92" s="1">
        <v>36.89</v>
      </c>
      <c r="S92">
        <v>140</v>
      </c>
      <c r="T92" s="1">
        <v>337.91</v>
      </c>
      <c r="U92" s="1">
        <v>510</v>
      </c>
      <c r="V92">
        <v>8</v>
      </c>
      <c r="W92" s="1">
        <v>105</v>
      </c>
      <c r="X92">
        <v>49</v>
      </c>
      <c r="Y92" s="1">
        <v>0</v>
      </c>
      <c r="Z92">
        <v>554</v>
      </c>
      <c r="AA92" s="1">
        <v>1635.33</v>
      </c>
      <c r="AB92">
        <v>43</v>
      </c>
      <c r="AC92" s="1">
        <v>110.23</v>
      </c>
      <c r="AD92">
        <v>17</v>
      </c>
      <c r="AE92" s="1">
        <v>71.78</v>
      </c>
      <c r="AF92" s="1">
        <v>12</v>
      </c>
      <c r="AG92" s="1">
        <v>12</v>
      </c>
      <c r="AH92" s="1">
        <v>0</v>
      </c>
      <c r="AI92" s="1">
        <v>0</v>
      </c>
      <c r="AJ92" s="1">
        <v>825.55</v>
      </c>
      <c r="AL92" s="1">
        <v>20598.38</v>
      </c>
      <c r="AM92" s="1">
        <v>12</v>
      </c>
      <c r="AN92" s="1">
        <v>2330</v>
      </c>
      <c r="AO92" s="1">
        <v>62.34</v>
      </c>
      <c r="AP92" s="1">
        <v>-3.49</v>
      </c>
      <c r="AQ92">
        <v>434</v>
      </c>
      <c r="AR92" s="1">
        <v>3026.47</v>
      </c>
      <c r="AS92">
        <v>1340</v>
      </c>
      <c r="AT92" s="1">
        <v>9668.65</v>
      </c>
      <c r="AU92">
        <v>85</v>
      </c>
      <c r="AV92" s="1">
        <v>705.83</v>
      </c>
      <c r="AW92">
        <v>43</v>
      </c>
      <c r="AX92" s="1">
        <v>297.24</v>
      </c>
      <c r="AY92">
        <v>644</v>
      </c>
      <c r="AZ92" s="1">
        <v>3156.66</v>
      </c>
      <c r="BA92">
        <v>2</v>
      </c>
      <c r="BB92" s="1">
        <v>12.68</v>
      </c>
      <c r="BC92">
        <v>3</v>
      </c>
      <c r="BD92" s="1">
        <v>11.63</v>
      </c>
      <c r="BE92">
        <v>120</v>
      </c>
      <c r="BF92" s="1">
        <v>523.1</v>
      </c>
      <c r="BG92">
        <v>16</v>
      </c>
      <c r="BH92" s="1">
        <v>72.92</v>
      </c>
      <c r="BK92">
        <v>44</v>
      </c>
      <c r="BL92" s="1">
        <v>298.55</v>
      </c>
      <c r="BM92">
        <v>7</v>
      </c>
      <c r="BN92" s="1">
        <v>31.95</v>
      </c>
      <c r="BO92" s="1">
        <v>54.28</v>
      </c>
      <c r="CA92">
        <v>28</v>
      </c>
      <c r="CB92" s="1">
        <v>200.68</v>
      </c>
      <c r="CG92">
        <v>91</v>
      </c>
      <c r="CH92">
        <v>91</v>
      </c>
    </row>
    <row r="93" spans="1:86" x14ac:dyDescent="0.35">
      <c r="A93">
        <v>355439</v>
      </c>
      <c r="B93" s="2">
        <v>44199</v>
      </c>
      <c r="C93" s="2">
        <v>44205</v>
      </c>
      <c r="D93">
        <v>1393</v>
      </c>
      <c r="E93" s="1">
        <v>4587.87</v>
      </c>
      <c r="F93" s="1">
        <v>13667.73</v>
      </c>
      <c r="G93" s="1">
        <v>5687.89</v>
      </c>
      <c r="H93" s="1">
        <v>5414.95</v>
      </c>
      <c r="I93" s="1">
        <v>872.36</v>
      </c>
      <c r="J93" s="1">
        <v>27401.68</v>
      </c>
      <c r="K93" s="1">
        <v>0</v>
      </c>
      <c r="L93">
        <v>4774</v>
      </c>
      <c r="M93" s="1">
        <v>0</v>
      </c>
      <c r="N93" s="1">
        <v>28707.8</v>
      </c>
      <c r="O93">
        <v>12</v>
      </c>
      <c r="P93" s="1">
        <v>426.04</v>
      </c>
      <c r="Q93">
        <v>69</v>
      </c>
      <c r="R93" s="1">
        <v>33.42</v>
      </c>
      <c r="S93">
        <v>250</v>
      </c>
      <c r="T93" s="1">
        <v>522.79</v>
      </c>
      <c r="U93" s="1">
        <v>323.87</v>
      </c>
      <c r="V93">
        <v>10</v>
      </c>
      <c r="W93" s="1">
        <v>150</v>
      </c>
      <c r="X93">
        <v>126</v>
      </c>
      <c r="Y93" s="1">
        <v>0</v>
      </c>
      <c r="Z93">
        <v>838</v>
      </c>
      <c r="AA93" s="1">
        <v>2643.56</v>
      </c>
      <c r="AB93">
        <v>92</v>
      </c>
      <c r="AC93" s="1">
        <v>235.32</v>
      </c>
      <c r="AD93">
        <v>34</v>
      </c>
      <c r="AE93" s="1">
        <v>128.43</v>
      </c>
      <c r="AF93" s="1">
        <v>1.05</v>
      </c>
      <c r="AG93" s="1">
        <v>1</v>
      </c>
      <c r="AH93" s="1">
        <v>0</v>
      </c>
      <c r="AI93" s="1">
        <v>0</v>
      </c>
      <c r="AJ93" s="1">
        <v>1457.68</v>
      </c>
      <c r="AL93" s="1">
        <v>27401.73</v>
      </c>
      <c r="AM93" s="1">
        <v>1</v>
      </c>
      <c r="AN93" s="1">
        <v>3223.11</v>
      </c>
      <c r="AO93" s="1">
        <v>108.89</v>
      </c>
      <c r="AP93" s="1">
        <v>-5.81</v>
      </c>
      <c r="AQ93">
        <v>569</v>
      </c>
      <c r="AR93" s="1">
        <v>3904.57</v>
      </c>
      <c r="AS93">
        <v>2064</v>
      </c>
      <c r="AT93" s="1">
        <v>13816.92</v>
      </c>
      <c r="AU93">
        <v>205</v>
      </c>
      <c r="AV93" s="1">
        <v>1595.04</v>
      </c>
      <c r="AW93">
        <v>46</v>
      </c>
      <c r="AX93" s="1">
        <v>327.82</v>
      </c>
      <c r="AY93">
        <v>546</v>
      </c>
      <c r="AZ93" s="1">
        <v>2627.89</v>
      </c>
      <c r="BA93">
        <v>14</v>
      </c>
      <c r="BB93" s="1">
        <v>69.739999999999995</v>
      </c>
      <c r="BC93">
        <v>14</v>
      </c>
      <c r="BD93" s="1">
        <v>29.68</v>
      </c>
      <c r="BE93">
        <v>130</v>
      </c>
      <c r="BF93" s="1">
        <v>526.61</v>
      </c>
      <c r="BG93">
        <v>30</v>
      </c>
      <c r="BH93" s="1">
        <v>119.63</v>
      </c>
      <c r="BK93">
        <v>73</v>
      </c>
      <c r="BL93" s="1">
        <v>333.6</v>
      </c>
      <c r="BM93">
        <v>12</v>
      </c>
      <c r="BN93" s="1">
        <v>55.29</v>
      </c>
      <c r="BO93" s="1">
        <v>67.02</v>
      </c>
      <c r="BP93">
        <v>17</v>
      </c>
      <c r="BQ93" s="1">
        <v>139.33000000000001</v>
      </c>
      <c r="BR93" s="1">
        <v>196.22</v>
      </c>
      <c r="CA93">
        <v>51</v>
      </c>
      <c r="CB93" s="1">
        <v>483.72</v>
      </c>
      <c r="CG93">
        <v>92</v>
      </c>
      <c r="CH93">
        <v>92</v>
      </c>
    </row>
    <row r="94" spans="1:86" x14ac:dyDescent="0.35">
      <c r="A94">
        <v>359606</v>
      </c>
      <c r="B94" s="2">
        <v>44199</v>
      </c>
      <c r="C94" s="2">
        <v>44205</v>
      </c>
      <c r="D94">
        <v>275</v>
      </c>
      <c r="E94">
        <v>886.05</v>
      </c>
      <c r="F94">
        <v>3515.4599999999996</v>
      </c>
      <c r="G94">
        <v>1162.21</v>
      </c>
      <c r="H94">
        <v>2244.04</v>
      </c>
      <c r="I94">
        <v>202.19</v>
      </c>
      <c r="J94">
        <v>7237.9</v>
      </c>
      <c r="K94">
        <v>306.38000000000005</v>
      </c>
      <c r="L94">
        <v>1428</v>
      </c>
      <c r="M94">
        <v>323.46000000000004</v>
      </c>
      <c r="N94">
        <v>7713.53</v>
      </c>
      <c r="O94">
        <v>2</v>
      </c>
      <c r="P94">
        <v>3.78</v>
      </c>
      <c r="R94">
        <v>492.71</v>
      </c>
      <c r="V94">
        <v>0</v>
      </c>
      <c r="W94">
        <v>0</v>
      </c>
      <c r="X94">
        <v>0</v>
      </c>
      <c r="Y94">
        <v>0</v>
      </c>
      <c r="Z94">
        <v>211</v>
      </c>
      <c r="AA94">
        <v>838.04</v>
      </c>
      <c r="AB94">
        <v>34</v>
      </c>
      <c r="AC94">
        <v>234.31</v>
      </c>
      <c r="AD94">
        <v>29</v>
      </c>
      <c r="AE94">
        <v>36.9</v>
      </c>
      <c r="AH94">
        <v>0</v>
      </c>
      <c r="AJ94">
        <v>671.18</v>
      </c>
      <c r="AN94">
        <v>1234.96</v>
      </c>
      <c r="AO94">
        <v>0</v>
      </c>
      <c r="AP94">
        <v>42.170000000000073</v>
      </c>
      <c r="AQ94">
        <v>165</v>
      </c>
      <c r="AR94">
        <v>1145.8</v>
      </c>
      <c r="AS94">
        <v>629</v>
      </c>
      <c r="AT94">
        <v>3667.13</v>
      </c>
      <c r="AU94">
        <v>127</v>
      </c>
      <c r="AV94">
        <v>787.8</v>
      </c>
      <c r="AW94">
        <v>23</v>
      </c>
      <c r="AX94">
        <v>174.68</v>
      </c>
      <c r="AY94">
        <v>223</v>
      </c>
      <c r="AZ94">
        <v>963.61</v>
      </c>
      <c r="BP94">
        <v>8</v>
      </c>
      <c r="BQ94">
        <v>144.11000000000001</v>
      </c>
      <c r="BR94">
        <v>134.71</v>
      </c>
      <c r="BS94">
        <v>7565.96</v>
      </c>
      <c r="BV94">
        <v>227.88999999999942</v>
      </c>
      <c r="BW94">
        <v>251.48</v>
      </c>
      <c r="CA94">
        <v>10</v>
      </c>
      <c r="CB94">
        <v>163.13</v>
      </c>
      <c r="CG94">
        <v>93</v>
      </c>
      <c r="CH94">
        <v>93</v>
      </c>
    </row>
    <row r="95" spans="1:86" x14ac:dyDescent="0.35">
      <c r="A95">
        <v>358682</v>
      </c>
      <c r="B95" s="2">
        <v>44199</v>
      </c>
      <c r="C95" s="2">
        <v>44205</v>
      </c>
      <c r="D95">
        <v>469</v>
      </c>
      <c r="E95">
        <v>1612.01</v>
      </c>
      <c r="F95">
        <v>6037.43</v>
      </c>
      <c r="G95">
        <v>1136.6099999999999</v>
      </c>
      <c r="H95">
        <v>3778.2</v>
      </c>
      <c r="I95">
        <v>521.24</v>
      </c>
      <c r="J95">
        <v>11747.670000000002</v>
      </c>
      <c r="K95">
        <v>552.98</v>
      </c>
      <c r="L95">
        <v>2092</v>
      </c>
      <c r="M95">
        <v>589.77</v>
      </c>
      <c r="N95">
        <v>12416.570000000002</v>
      </c>
      <c r="O95">
        <v>5</v>
      </c>
      <c r="P95">
        <v>16.649999999999999</v>
      </c>
      <c r="R95">
        <v>705.68999999999994</v>
      </c>
      <c r="V95">
        <v>0</v>
      </c>
      <c r="W95">
        <v>0</v>
      </c>
      <c r="X95">
        <v>0</v>
      </c>
      <c r="Y95">
        <v>0</v>
      </c>
      <c r="Z95">
        <v>261</v>
      </c>
      <c r="AA95">
        <v>747.4</v>
      </c>
      <c r="AB95">
        <v>111</v>
      </c>
      <c r="AC95">
        <v>923.08</v>
      </c>
      <c r="AD95">
        <v>100</v>
      </c>
      <c r="AE95">
        <v>137.41</v>
      </c>
      <c r="AH95">
        <v>0</v>
      </c>
      <c r="AJ95">
        <v>1090.06</v>
      </c>
      <c r="AN95">
        <v>2535.4499999999998</v>
      </c>
      <c r="AO95">
        <v>66.84</v>
      </c>
      <c r="AP95">
        <v>1.9499999999998181</v>
      </c>
      <c r="AQ95">
        <v>241</v>
      </c>
      <c r="AR95">
        <v>1710.86</v>
      </c>
      <c r="AS95">
        <v>913</v>
      </c>
      <c r="AT95">
        <v>6055.63</v>
      </c>
      <c r="AU95">
        <v>136</v>
      </c>
      <c r="AV95">
        <v>850.91</v>
      </c>
      <c r="AW95">
        <v>39</v>
      </c>
      <c r="AX95">
        <v>259.95</v>
      </c>
      <c r="AY95">
        <v>291</v>
      </c>
      <c r="AZ95">
        <v>1370.18</v>
      </c>
      <c r="BM95">
        <v>8</v>
      </c>
      <c r="BN95">
        <v>57.85</v>
      </c>
      <c r="BP95">
        <v>33</v>
      </c>
      <c r="BQ95">
        <v>373.64</v>
      </c>
      <c r="BR95">
        <v>299.39</v>
      </c>
      <c r="BS95">
        <v>12300.07</v>
      </c>
      <c r="BV95">
        <v>8.5399999999990541</v>
      </c>
      <c r="BW95">
        <v>4.6500000000000004</v>
      </c>
      <c r="CA95">
        <v>9</v>
      </c>
      <c r="CB95">
        <v>107.46</v>
      </c>
      <c r="CG95">
        <v>94</v>
      </c>
      <c r="CH95">
        <v>94</v>
      </c>
    </row>
    <row r="96" spans="1:86" x14ac:dyDescent="0.35">
      <c r="A96">
        <v>350432</v>
      </c>
      <c r="B96" s="2">
        <v>44205</v>
      </c>
      <c r="C96" s="2">
        <v>44205</v>
      </c>
      <c r="D96">
        <v>184</v>
      </c>
      <c r="E96" s="1">
        <v>610.20000000000005</v>
      </c>
      <c r="F96" s="1">
        <v>2097.6999999999998</v>
      </c>
      <c r="G96" s="1">
        <v>704.02</v>
      </c>
      <c r="H96" s="1">
        <v>994.55</v>
      </c>
      <c r="I96" s="1">
        <v>109.09</v>
      </c>
      <c r="J96" s="1">
        <v>4213.92</v>
      </c>
      <c r="K96" s="1">
        <v>483.21</v>
      </c>
      <c r="L96">
        <v>734</v>
      </c>
      <c r="M96" s="1">
        <v>483.64</v>
      </c>
      <c r="N96" s="1">
        <v>4327.75</v>
      </c>
      <c r="O96">
        <v>0</v>
      </c>
      <c r="P96" s="1">
        <v>0</v>
      </c>
      <c r="Q96">
        <v>8</v>
      </c>
      <c r="R96" s="1">
        <v>2.23</v>
      </c>
      <c r="S96">
        <v>28</v>
      </c>
      <c r="T96" s="1">
        <v>51.08</v>
      </c>
      <c r="U96" s="1">
        <v>60.95</v>
      </c>
      <c r="V96">
        <v>1</v>
      </c>
      <c r="W96" s="1">
        <v>10</v>
      </c>
      <c r="X96">
        <v>16</v>
      </c>
      <c r="Y96" s="1">
        <v>0</v>
      </c>
      <c r="Z96">
        <v>122</v>
      </c>
      <c r="AA96" s="1">
        <v>354.28</v>
      </c>
      <c r="AB96">
        <v>27</v>
      </c>
      <c r="AC96" s="1">
        <v>65.900000000000006</v>
      </c>
      <c r="AD96">
        <v>4</v>
      </c>
      <c r="AE96" s="1">
        <v>21.81</v>
      </c>
      <c r="AF96" s="1">
        <v>0</v>
      </c>
      <c r="AG96" s="1">
        <v>0</v>
      </c>
      <c r="AH96" s="1">
        <v>0</v>
      </c>
      <c r="AI96" s="1">
        <v>0</v>
      </c>
      <c r="AJ96" s="1">
        <v>417.99</v>
      </c>
      <c r="AL96" s="1">
        <v>4697.13</v>
      </c>
      <c r="AM96" s="1">
        <v>0</v>
      </c>
      <c r="AN96" s="1">
        <v>907</v>
      </c>
      <c r="AO96" s="1">
        <v>0</v>
      </c>
      <c r="AP96" s="1">
        <v>-2.99</v>
      </c>
      <c r="AQ96">
        <v>84</v>
      </c>
      <c r="AR96" s="1">
        <v>640.91</v>
      </c>
      <c r="AS96">
        <v>310</v>
      </c>
      <c r="AT96" s="1">
        <v>2266.35</v>
      </c>
      <c r="AU96">
        <v>34</v>
      </c>
      <c r="AV96" s="1">
        <v>304.73</v>
      </c>
      <c r="AW96">
        <v>11</v>
      </c>
      <c r="AX96" s="1">
        <v>75.05</v>
      </c>
      <c r="AY96">
        <v>94</v>
      </c>
      <c r="AZ96" s="1">
        <v>487.87</v>
      </c>
      <c r="BC96">
        <v>3</v>
      </c>
      <c r="BD96" s="1">
        <v>14.88</v>
      </c>
      <c r="BE96">
        <v>18</v>
      </c>
      <c r="BF96" s="1">
        <v>77.150000000000006</v>
      </c>
      <c r="BG96">
        <v>5</v>
      </c>
      <c r="BH96" s="1">
        <v>14.63</v>
      </c>
      <c r="BK96">
        <v>10</v>
      </c>
      <c r="BL96" s="1">
        <v>116.07</v>
      </c>
      <c r="BP96">
        <v>11</v>
      </c>
      <c r="BQ96" s="1">
        <v>136.05000000000001</v>
      </c>
      <c r="BR96" s="1">
        <v>124.92</v>
      </c>
      <c r="BZ96">
        <v>1</v>
      </c>
      <c r="CA96">
        <v>5</v>
      </c>
      <c r="CB96" s="1">
        <v>81.44</v>
      </c>
      <c r="CG96">
        <v>95</v>
      </c>
      <c r="CH96">
        <v>95</v>
      </c>
    </row>
    <row r="97" spans="1:86" x14ac:dyDescent="0.35">
      <c r="A97">
        <v>350437</v>
      </c>
      <c r="B97" s="2">
        <v>44205</v>
      </c>
      <c r="C97" s="2">
        <v>44205</v>
      </c>
      <c r="D97">
        <v>115</v>
      </c>
      <c r="E97" s="1">
        <v>400.26</v>
      </c>
      <c r="F97" s="1">
        <v>1367.25</v>
      </c>
      <c r="G97" s="1">
        <v>577.52</v>
      </c>
      <c r="H97" s="1">
        <v>649.99</v>
      </c>
      <c r="I97" s="1">
        <v>84.55</v>
      </c>
      <c r="J97" s="1">
        <v>2851.54</v>
      </c>
      <c r="K97" s="1">
        <v>0</v>
      </c>
      <c r="L97">
        <v>438</v>
      </c>
      <c r="M97" s="1">
        <v>0</v>
      </c>
      <c r="N97" s="1">
        <v>2921.28</v>
      </c>
      <c r="O97">
        <v>1</v>
      </c>
      <c r="P97" s="1">
        <v>2.75</v>
      </c>
      <c r="Q97">
        <v>3</v>
      </c>
      <c r="R97" s="1">
        <v>0.44</v>
      </c>
      <c r="S97">
        <v>13</v>
      </c>
      <c r="T97" s="1">
        <v>24.99</v>
      </c>
      <c r="U97" s="1">
        <v>41.56</v>
      </c>
      <c r="V97">
        <v>3</v>
      </c>
      <c r="W97" s="1">
        <v>30</v>
      </c>
      <c r="X97">
        <v>16</v>
      </c>
      <c r="Y97" s="1">
        <v>0</v>
      </c>
      <c r="Z97">
        <v>65</v>
      </c>
      <c r="AA97" s="1">
        <v>185.91</v>
      </c>
      <c r="AB97">
        <v>6</v>
      </c>
      <c r="AC97" s="1">
        <v>10.96</v>
      </c>
      <c r="AD97">
        <v>5</v>
      </c>
      <c r="AE97" s="1">
        <v>11.29</v>
      </c>
      <c r="AF97" s="1">
        <v>0</v>
      </c>
      <c r="AG97" s="1">
        <v>0</v>
      </c>
      <c r="AH97" s="1">
        <v>0</v>
      </c>
      <c r="AI97" s="1">
        <v>0</v>
      </c>
      <c r="AJ97" s="1">
        <v>253.77</v>
      </c>
      <c r="AL97" s="1">
        <v>2851.54</v>
      </c>
      <c r="AM97" s="1">
        <v>0</v>
      </c>
      <c r="AN97" s="1">
        <v>419</v>
      </c>
      <c r="AO97" s="1">
        <v>0</v>
      </c>
      <c r="AP97" s="1">
        <v>-29.12</v>
      </c>
      <c r="AQ97">
        <v>52</v>
      </c>
      <c r="AR97" s="1">
        <v>385.4</v>
      </c>
      <c r="AS97">
        <v>177</v>
      </c>
      <c r="AT97" s="1">
        <v>1304.27</v>
      </c>
      <c r="AU97">
        <v>44</v>
      </c>
      <c r="AV97" s="1">
        <v>323.54000000000002</v>
      </c>
      <c r="AW97">
        <v>4</v>
      </c>
      <c r="AX97" s="1">
        <v>38.99</v>
      </c>
      <c r="AY97">
        <v>48</v>
      </c>
      <c r="AZ97" s="1">
        <v>231.76</v>
      </c>
      <c r="BA97">
        <v>4</v>
      </c>
      <c r="BB97" s="1">
        <v>42.73</v>
      </c>
      <c r="BC97">
        <v>2</v>
      </c>
      <c r="BD97" s="1">
        <v>19.61</v>
      </c>
      <c r="BE97">
        <v>12</v>
      </c>
      <c r="BF97" s="1">
        <v>100.24</v>
      </c>
      <c r="BG97">
        <v>1</v>
      </c>
      <c r="BH97" s="1">
        <v>4.8899999999999997</v>
      </c>
      <c r="BK97">
        <v>7</v>
      </c>
      <c r="BL97" s="1">
        <v>87.39</v>
      </c>
      <c r="BP97">
        <v>11</v>
      </c>
      <c r="BQ97" s="1">
        <v>143.06</v>
      </c>
      <c r="BR97" s="1">
        <v>131.37</v>
      </c>
      <c r="BZ97">
        <v>1</v>
      </c>
      <c r="CA97">
        <v>1</v>
      </c>
      <c r="CB97" s="1">
        <v>5.31</v>
      </c>
      <c r="CG97">
        <v>96</v>
      </c>
      <c r="CH97">
        <v>96</v>
      </c>
    </row>
    <row r="98" spans="1:86" x14ac:dyDescent="0.35">
      <c r="A98">
        <v>351323</v>
      </c>
      <c r="B98" s="2">
        <v>44205</v>
      </c>
      <c r="C98" s="2">
        <v>44205</v>
      </c>
      <c r="D98">
        <v>177</v>
      </c>
      <c r="E98" s="1">
        <v>603.63</v>
      </c>
      <c r="F98" s="1">
        <v>1945.77</v>
      </c>
      <c r="G98" s="1">
        <v>715.68</v>
      </c>
      <c r="H98" s="1">
        <v>785.15</v>
      </c>
      <c r="I98" s="1">
        <v>124.71</v>
      </c>
      <c r="J98" s="1">
        <v>3783.76</v>
      </c>
      <c r="K98" s="1">
        <v>483.14</v>
      </c>
      <c r="L98">
        <v>664</v>
      </c>
      <c r="M98" s="1">
        <v>487.52</v>
      </c>
      <c r="N98" s="1">
        <v>3936.85</v>
      </c>
      <c r="O98">
        <v>2</v>
      </c>
      <c r="P98" s="1">
        <v>9.27</v>
      </c>
      <c r="Q98">
        <v>7</v>
      </c>
      <c r="R98" s="1">
        <v>2.13</v>
      </c>
      <c r="S98">
        <v>60</v>
      </c>
      <c r="T98" s="1">
        <v>81.61</v>
      </c>
      <c r="U98" s="1">
        <v>64.459999999999994</v>
      </c>
      <c r="V98">
        <v>2</v>
      </c>
      <c r="W98" s="1">
        <v>35</v>
      </c>
      <c r="X98">
        <v>13</v>
      </c>
      <c r="Y98" s="1">
        <v>0</v>
      </c>
      <c r="Z98">
        <v>114</v>
      </c>
      <c r="AA98" s="1">
        <v>403.73</v>
      </c>
      <c r="AB98">
        <v>9</v>
      </c>
      <c r="AC98" s="1">
        <v>24.75</v>
      </c>
      <c r="AD98">
        <v>3</v>
      </c>
      <c r="AE98" s="1">
        <v>12.9</v>
      </c>
      <c r="AF98" s="1">
        <v>0</v>
      </c>
      <c r="AG98" s="1">
        <v>0</v>
      </c>
      <c r="AH98" s="1">
        <v>0</v>
      </c>
      <c r="AI98" s="1">
        <v>0</v>
      </c>
      <c r="AJ98" s="1">
        <v>255.68</v>
      </c>
      <c r="AL98" s="1">
        <v>4266.8999999999996</v>
      </c>
      <c r="AM98" s="1">
        <v>0</v>
      </c>
      <c r="AN98" s="1">
        <v>670</v>
      </c>
      <c r="AO98" s="1">
        <v>0</v>
      </c>
      <c r="AP98" s="1">
        <v>1.44</v>
      </c>
      <c r="AQ98">
        <v>106</v>
      </c>
      <c r="AR98" s="1">
        <v>808.1</v>
      </c>
      <c r="AS98">
        <v>275</v>
      </c>
      <c r="AT98" s="1">
        <v>2141.88</v>
      </c>
      <c r="AU98">
        <v>21</v>
      </c>
      <c r="AV98" s="1">
        <v>142.38999999999999</v>
      </c>
      <c r="AW98">
        <v>5</v>
      </c>
      <c r="AX98" s="1">
        <v>71.48</v>
      </c>
      <c r="AY98">
        <v>105</v>
      </c>
      <c r="AZ98" s="1">
        <v>425.38</v>
      </c>
      <c r="BA98">
        <v>1</v>
      </c>
      <c r="BB98" s="1">
        <v>4.54</v>
      </c>
      <c r="BC98">
        <v>1</v>
      </c>
      <c r="BD98" s="1">
        <v>19.29</v>
      </c>
      <c r="BE98">
        <v>16</v>
      </c>
      <c r="BF98" s="1">
        <v>93.44</v>
      </c>
      <c r="BG98">
        <v>4</v>
      </c>
      <c r="BH98" s="1">
        <v>36.99</v>
      </c>
      <c r="BK98">
        <v>6</v>
      </c>
      <c r="BL98" s="1">
        <v>26.14</v>
      </c>
      <c r="BM98">
        <v>1</v>
      </c>
      <c r="BN98" s="1">
        <v>9.73</v>
      </c>
      <c r="BO98" s="1">
        <v>9.18</v>
      </c>
      <c r="BP98">
        <v>3</v>
      </c>
      <c r="BQ98" s="1">
        <v>43.86</v>
      </c>
      <c r="BR98" s="1">
        <v>41.38</v>
      </c>
      <c r="BZ98">
        <v>1</v>
      </c>
      <c r="CA98">
        <v>3</v>
      </c>
      <c r="CB98" s="1">
        <v>65.8</v>
      </c>
      <c r="CG98">
        <v>97</v>
      </c>
      <c r="CH98">
        <v>97</v>
      </c>
    </row>
    <row r="99" spans="1:86" x14ac:dyDescent="0.35">
      <c r="A99">
        <v>353927</v>
      </c>
      <c r="B99" s="2">
        <v>44205</v>
      </c>
      <c r="C99" s="2">
        <v>44205</v>
      </c>
      <c r="D99">
        <v>140</v>
      </c>
      <c r="E99" s="1">
        <v>469.39</v>
      </c>
      <c r="F99" s="1">
        <v>1478.99</v>
      </c>
      <c r="G99" s="1">
        <v>628.11</v>
      </c>
      <c r="H99" s="1">
        <v>652.33000000000004</v>
      </c>
      <c r="I99" s="1">
        <v>105.83</v>
      </c>
      <c r="J99" s="1">
        <v>3041.89</v>
      </c>
      <c r="K99" s="1">
        <v>0</v>
      </c>
      <c r="L99">
        <v>478</v>
      </c>
      <c r="M99" s="1">
        <v>0</v>
      </c>
      <c r="N99" s="1">
        <v>3187.78</v>
      </c>
      <c r="O99">
        <v>1</v>
      </c>
      <c r="P99" s="1">
        <v>4.09</v>
      </c>
      <c r="Q99">
        <v>6</v>
      </c>
      <c r="R99" s="1">
        <v>1.93</v>
      </c>
      <c r="S99">
        <v>45</v>
      </c>
      <c r="T99" s="1">
        <v>77.23</v>
      </c>
      <c r="U99" s="1">
        <v>62.64</v>
      </c>
      <c r="V99">
        <v>0</v>
      </c>
      <c r="W99" s="1">
        <v>0</v>
      </c>
      <c r="X99">
        <v>4</v>
      </c>
      <c r="Y99" s="1">
        <v>0</v>
      </c>
      <c r="Z99">
        <v>86</v>
      </c>
      <c r="AA99" s="1">
        <v>270.13</v>
      </c>
      <c r="AB99">
        <v>8</v>
      </c>
      <c r="AC99" s="1">
        <v>28.12</v>
      </c>
      <c r="AD99">
        <v>3</v>
      </c>
      <c r="AE99" s="1">
        <v>0</v>
      </c>
      <c r="AF99" s="1">
        <v>0</v>
      </c>
      <c r="AG99" s="1">
        <v>0</v>
      </c>
      <c r="AH99" s="1">
        <v>0</v>
      </c>
      <c r="AI99" s="1">
        <v>0</v>
      </c>
      <c r="AJ99" s="1">
        <v>182.44</v>
      </c>
      <c r="AL99" s="1">
        <v>3041.89</v>
      </c>
      <c r="AM99" s="1">
        <v>0</v>
      </c>
      <c r="AN99" s="1">
        <v>604</v>
      </c>
      <c r="AO99" s="1">
        <v>0</v>
      </c>
      <c r="AP99" s="1">
        <v>-7.7</v>
      </c>
      <c r="AQ99">
        <v>77</v>
      </c>
      <c r="AR99" s="1">
        <v>522.09</v>
      </c>
      <c r="AS99">
        <v>202</v>
      </c>
      <c r="AT99" s="1">
        <v>1439.91</v>
      </c>
      <c r="AU99">
        <v>10</v>
      </c>
      <c r="AV99" s="1">
        <v>42.47</v>
      </c>
      <c r="AW99">
        <v>8</v>
      </c>
      <c r="AX99" s="1">
        <v>104.21</v>
      </c>
      <c r="AY99">
        <v>65</v>
      </c>
      <c r="AZ99" s="1">
        <v>287.43</v>
      </c>
      <c r="BE99">
        <v>9</v>
      </c>
      <c r="BF99" s="1">
        <v>54.46</v>
      </c>
      <c r="BG99">
        <v>2</v>
      </c>
      <c r="BH99" s="1">
        <v>10.53</v>
      </c>
      <c r="BK99">
        <v>4</v>
      </c>
      <c r="BL99" s="1">
        <v>24.15</v>
      </c>
      <c r="BP99">
        <v>4</v>
      </c>
      <c r="BQ99" s="1">
        <v>47.84</v>
      </c>
      <c r="BR99" s="1">
        <v>45.14</v>
      </c>
      <c r="BZ99">
        <v>1</v>
      </c>
      <c r="CA99">
        <v>5</v>
      </c>
      <c r="CB99" s="1">
        <v>79.540000000000006</v>
      </c>
      <c r="CG99">
        <v>98</v>
      </c>
      <c r="CH99">
        <v>98</v>
      </c>
    </row>
    <row r="100" spans="1:86" x14ac:dyDescent="0.35">
      <c r="A100">
        <v>354030</v>
      </c>
      <c r="B100" s="2">
        <v>44205</v>
      </c>
      <c r="C100" s="2">
        <v>44205</v>
      </c>
      <c r="D100">
        <v>151</v>
      </c>
      <c r="E100" s="1">
        <v>546.83000000000004</v>
      </c>
      <c r="F100" s="1">
        <v>1538.27</v>
      </c>
      <c r="G100" s="1">
        <v>820.5</v>
      </c>
      <c r="H100" s="1">
        <v>643.86</v>
      </c>
      <c r="I100" s="1">
        <v>136.15</v>
      </c>
      <c r="J100" s="1">
        <v>3374.84</v>
      </c>
      <c r="K100" s="1">
        <v>191.39</v>
      </c>
      <c r="L100">
        <v>500</v>
      </c>
      <c r="M100" s="1">
        <v>193.58</v>
      </c>
      <c r="N100" s="1">
        <v>3520.5</v>
      </c>
      <c r="O100">
        <v>1</v>
      </c>
      <c r="P100" s="1">
        <v>2.59</v>
      </c>
      <c r="Q100">
        <v>7</v>
      </c>
      <c r="R100" s="1">
        <v>16.7</v>
      </c>
      <c r="S100">
        <v>20</v>
      </c>
      <c r="T100" s="1">
        <v>50.21</v>
      </c>
      <c r="U100" s="1">
        <v>78.349999999999994</v>
      </c>
      <c r="V100">
        <v>0</v>
      </c>
      <c r="W100" s="1">
        <v>0</v>
      </c>
      <c r="X100">
        <v>7</v>
      </c>
      <c r="Y100" s="1">
        <v>0</v>
      </c>
      <c r="Z100">
        <v>84</v>
      </c>
      <c r="AA100" s="1">
        <v>225</v>
      </c>
      <c r="AB100">
        <v>2</v>
      </c>
      <c r="AC100" s="1">
        <v>1.69</v>
      </c>
      <c r="AD100">
        <v>0</v>
      </c>
      <c r="AE100" s="1">
        <v>0</v>
      </c>
      <c r="AF100" s="1">
        <v>0</v>
      </c>
      <c r="AG100" s="1">
        <v>0</v>
      </c>
      <c r="AH100" s="1">
        <v>0</v>
      </c>
      <c r="AI100" s="1">
        <v>0</v>
      </c>
      <c r="AJ100" s="1">
        <v>213.89</v>
      </c>
      <c r="AL100" s="1">
        <v>3566.23</v>
      </c>
      <c r="AM100" s="1">
        <v>0</v>
      </c>
      <c r="AN100" s="1">
        <v>437</v>
      </c>
      <c r="AO100" s="1">
        <v>0</v>
      </c>
      <c r="AP100" s="1">
        <v>4.37</v>
      </c>
      <c r="AQ100">
        <v>53</v>
      </c>
      <c r="AR100" s="1">
        <v>415.05</v>
      </c>
      <c r="AS100">
        <v>217</v>
      </c>
      <c r="AT100" s="1">
        <v>1725.37</v>
      </c>
      <c r="AU100">
        <v>22</v>
      </c>
      <c r="AV100" s="1">
        <v>220.86</v>
      </c>
      <c r="AW100">
        <v>7</v>
      </c>
      <c r="AX100" s="1">
        <v>58.84</v>
      </c>
      <c r="AY100">
        <v>93</v>
      </c>
      <c r="AZ100" s="1">
        <v>537.79</v>
      </c>
      <c r="BE100">
        <v>18</v>
      </c>
      <c r="BF100" s="1">
        <v>147.22</v>
      </c>
      <c r="BG100">
        <v>6</v>
      </c>
      <c r="BH100" s="1">
        <v>45.29</v>
      </c>
      <c r="BK100">
        <v>6</v>
      </c>
      <c r="BL100" s="1">
        <v>96.41</v>
      </c>
      <c r="BZ100">
        <v>1</v>
      </c>
      <c r="CA100">
        <v>8</v>
      </c>
      <c r="CB100" s="1">
        <v>100.66</v>
      </c>
      <c r="CG100">
        <v>99</v>
      </c>
      <c r="CH100">
        <v>99</v>
      </c>
    </row>
    <row r="101" spans="1:86" x14ac:dyDescent="0.35">
      <c r="A101">
        <v>355439</v>
      </c>
      <c r="B101" s="2">
        <v>44205</v>
      </c>
      <c r="C101" s="2">
        <v>44205</v>
      </c>
      <c r="D101">
        <v>243</v>
      </c>
      <c r="E101" s="1">
        <v>861.74</v>
      </c>
      <c r="F101" s="1">
        <v>2216.31</v>
      </c>
      <c r="G101" s="1">
        <v>1248.44</v>
      </c>
      <c r="H101" s="1">
        <v>936.44</v>
      </c>
      <c r="I101" s="1">
        <v>124.62</v>
      </c>
      <c r="J101" s="1">
        <v>4832.3999999999996</v>
      </c>
      <c r="K101" s="1">
        <v>0</v>
      </c>
      <c r="L101">
        <v>734</v>
      </c>
      <c r="M101" s="1">
        <v>0</v>
      </c>
      <c r="N101" s="1">
        <v>4941.71</v>
      </c>
      <c r="O101">
        <v>3</v>
      </c>
      <c r="P101" s="1">
        <v>15.06</v>
      </c>
      <c r="Q101">
        <v>11</v>
      </c>
      <c r="R101" s="1">
        <v>4.18</v>
      </c>
      <c r="S101">
        <v>36</v>
      </c>
      <c r="T101" s="1">
        <v>55.43</v>
      </c>
      <c r="U101" s="1">
        <v>34.64</v>
      </c>
      <c r="V101">
        <v>1</v>
      </c>
      <c r="W101" s="1">
        <v>15</v>
      </c>
      <c r="X101">
        <v>17</v>
      </c>
      <c r="Y101" s="1">
        <v>0</v>
      </c>
      <c r="Z101">
        <v>155</v>
      </c>
      <c r="AA101" s="1">
        <v>377.79</v>
      </c>
      <c r="AB101">
        <v>14</v>
      </c>
      <c r="AC101" s="1">
        <v>34.72</v>
      </c>
      <c r="AD101">
        <v>6</v>
      </c>
      <c r="AE101" s="1">
        <v>27.95</v>
      </c>
      <c r="AF101" s="1">
        <v>0</v>
      </c>
      <c r="AG101" s="1">
        <v>0</v>
      </c>
      <c r="AH101" s="1">
        <v>0</v>
      </c>
      <c r="AI101" s="1">
        <v>0</v>
      </c>
      <c r="AJ101" s="1">
        <v>386.86</v>
      </c>
      <c r="AL101" s="1">
        <v>4832.3999999999996</v>
      </c>
      <c r="AM101" s="1">
        <v>0</v>
      </c>
      <c r="AN101" s="1">
        <v>714</v>
      </c>
      <c r="AO101" s="1">
        <v>0</v>
      </c>
      <c r="AP101" s="1">
        <v>-6.94</v>
      </c>
      <c r="AQ101">
        <v>95</v>
      </c>
      <c r="AR101" s="1">
        <v>690.12</v>
      </c>
      <c r="AS101">
        <v>339</v>
      </c>
      <c r="AT101" s="1">
        <v>2582.9</v>
      </c>
      <c r="AU101">
        <v>41</v>
      </c>
      <c r="AV101" s="1">
        <v>417.32</v>
      </c>
      <c r="AW101">
        <v>11</v>
      </c>
      <c r="AX101" s="1">
        <v>90.02</v>
      </c>
      <c r="AY101">
        <v>61</v>
      </c>
      <c r="AZ101" s="1">
        <v>264.8</v>
      </c>
      <c r="BC101">
        <v>6</v>
      </c>
      <c r="BD101" s="1">
        <v>67.89</v>
      </c>
      <c r="BE101">
        <v>29</v>
      </c>
      <c r="BF101" s="1">
        <v>165.99</v>
      </c>
      <c r="BG101">
        <v>2</v>
      </c>
      <c r="BH101" s="1">
        <v>20.18</v>
      </c>
      <c r="BK101">
        <v>11</v>
      </c>
      <c r="BL101" s="1">
        <v>68.95</v>
      </c>
      <c r="BP101">
        <v>1</v>
      </c>
      <c r="BQ101" s="1">
        <v>18.510000000000002</v>
      </c>
      <c r="BR101" s="1">
        <v>17.14</v>
      </c>
      <c r="BZ101">
        <v>1</v>
      </c>
      <c r="CA101">
        <v>10</v>
      </c>
      <c r="CB101" s="1">
        <v>126.64</v>
      </c>
      <c r="CG101">
        <v>100</v>
      </c>
      <c r="CH101">
        <v>100</v>
      </c>
    </row>
    <row r="102" spans="1:86" x14ac:dyDescent="0.35">
      <c r="A102">
        <v>352613</v>
      </c>
      <c r="B102" s="2">
        <v>44205</v>
      </c>
      <c r="C102" s="2">
        <v>44205</v>
      </c>
      <c r="D102">
        <v>127</v>
      </c>
      <c r="E102">
        <v>439.13</v>
      </c>
      <c r="F102">
        <v>1879.6600000000003</v>
      </c>
      <c r="G102">
        <v>747.34</v>
      </c>
      <c r="H102">
        <v>789.22</v>
      </c>
      <c r="I102">
        <v>154.22999999999999</v>
      </c>
      <c r="J102">
        <v>3711.22</v>
      </c>
      <c r="K102">
        <v>304.34000000000003</v>
      </c>
      <c r="L102">
        <v>650</v>
      </c>
      <c r="M102">
        <v>311.62</v>
      </c>
      <c r="N102">
        <v>3866.5099999999998</v>
      </c>
      <c r="O102">
        <v>6</v>
      </c>
      <c r="P102">
        <v>3.58</v>
      </c>
      <c r="R102">
        <v>162.57000000000002</v>
      </c>
      <c r="V102">
        <v>1</v>
      </c>
      <c r="W102">
        <v>10</v>
      </c>
      <c r="X102">
        <v>0</v>
      </c>
      <c r="Y102">
        <v>0</v>
      </c>
      <c r="Z102">
        <v>147</v>
      </c>
      <c r="AA102">
        <v>391.58</v>
      </c>
      <c r="AB102">
        <v>14</v>
      </c>
      <c r="AC102">
        <v>53.75</v>
      </c>
      <c r="AD102">
        <v>89</v>
      </c>
      <c r="AE102">
        <v>108.42</v>
      </c>
      <c r="AH102">
        <v>0</v>
      </c>
      <c r="AJ102">
        <v>321.69</v>
      </c>
      <c r="AN102">
        <v>1032</v>
      </c>
      <c r="AO102">
        <v>0</v>
      </c>
      <c r="AP102">
        <v>-78.210000000000036</v>
      </c>
      <c r="AQ102">
        <v>85</v>
      </c>
      <c r="AR102">
        <v>664.26</v>
      </c>
      <c r="AS102">
        <v>250</v>
      </c>
      <c r="AT102">
        <v>1762.31</v>
      </c>
      <c r="AU102">
        <v>14</v>
      </c>
      <c r="AV102">
        <v>98.21</v>
      </c>
      <c r="AW102">
        <v>4</v>
      </c>
      <c r="AX102">
        <v>32.979999999999997</v>
      </c>
      <c r="AY102">
        <v>98</v>
      </c>
      <c r="AZ102">
        <v>471.66</v>
      </c>
      <c r="BP102">
        <v>4</v>
      </c>
      <c r="BQ102">
        <v>58.31</v>
      </c>
      <c r="BR102">
        <v>53.99</v>
      </c>
      <c r="BS102">
        <v>4007.48</v>
      </c>
      <c r="BV102">
        <v>20.669999999999163</v>
      </c>
      <c r="BW102">
        <v>12.48</v>
      </c>
      <c r="BZ102">
        <v>1</v>
      </c>
      <c r="CA102">
        <v>7</v>
      </c>
      <c r="CB102">
        <v>74.25</v>
      </c>
      <c r="CC102">
        <v>2</v>
      </c>
      <c r="CD102">
        <v>29.07</v>
      </c>
      <c r="CE102">
        <v>1</v>
      </c>
      <c r="CF102">
        <v>37.799999999999997</v>
      </c>
      <c r="CG102">
        <v>101</v>
      </c>
      <c r="CH102">
        <v>101</v>
      </c>
    </row>
    <row r="103" spans="1:86" x14ac:dyDescent="0.35">
      <c r="A103">
        <v>358682</v>
      </c>
      <c r="B103" s="2">
        <v>44205</v>
      </c>
      <c r="C103" s="2">
        <v>44205</v>
      </c>
      <c r="D103">
        <v>64</v>
      </c>
      <c r="E103">
        <v>223.45999999999998</v>
      </c>
      <c r="F103">
        <v>732.7600000000001</v>
      </c>
      <c r="G103">
        <v>178.42</v>
      </c>
      <c r="H103">
        <v>497.05</v>
      </c>
      <c r="I103">
        <v>75.790000000000006</v>
      </c>
      <c r="J103">
        <v>1519.49</v>
      </c>
      <c r="K103">
        <v>91.94</v>
      </c>
      <c r="L103">
        <v>264</v>
      </c>
      <c r="M103">
        <v>102.62</v>
      </c>
      <c r="N103">
        <v>1610.06</v>
      </c>
      <c r="O103">
        <v>4</v>
      </c>
      <c r="P103">
        <v>7.16</v>
      </c>
      <c r="R103">
        <v>101.25</v>
      </c>
      <c r="V103">
        <v>0</v>
      </c>
      <c r="W103">
        <v>0</v>
      </c>
      <c r="X103">
        <v>0</v>
      </c>
      <c r="Y103">
        <v>0</v>
      </c>
      <c r="Z103">
        <v>24</v>
      </c>
      <c r="AA103">
        <v>61.93</v>
      </c>
      <c r="AB103">
        <v>12</v>
      </c>
      <c r="AC103">
        <v>80.62</v>
      </c>
      <c r="AD103">
        <v>3</v>
      </c>
      <c r="AE103">
        <v>12.67</v>
      </c>
      <c r="AH103">
        <v>0</v>
      </c>
      <c r="AJ103">
        <v>142.86000000000001</v>
      </c>
      <c r="AN103">
        <v>331.07</v>
      </c>
      <c r="AO103">
        <v>0</v>
      </c>
      <c r="AP103">
        <v>5.3899999999999864</v>
      </c>
      <c r="AQ103">
        <v>32</v>
      </c>
      <c r="AR103">
        <v>262.81</v>
      </c>
      <c r="AS103">
        <v>108</v>
      </c>
      <c r="AT103">
        <v>762.18</v>
      </c>
      <c r="AU103">
        <v>20</v>
      </c>
      <c r="AV103">
        <v>113.19</v>
      </c>
      <c r="AW103">
        <v>7</v>
      </c>
      <c r="AX103">
        <v>43.7</v>
      </c>
      <c r="AY103">
        <v>39</v>
      </c>
      <c r="AZ103">
        <v>185.07</v>
      </c>
      <c r="BP103">
        <v>3</v>
      </c>
      <c r="BQ103">
        <v>49.21</v>
      </c>
      <c r="BR103">
        <v>29.25</v>
      </c>
      <c r="BS103">
        <v>1610.85</v>
      </c>
      <c r="BV103">
        <v>3.8899999999998727</v>
      </c>
      <c r="BW103">
        <v>0</v>
      </c>
      <c r="BZ103">
        <v>1</v>
      </c>
      <c r="CA103">
        <v>1</v>
      </c>
      <c r="CB103">
        <v>8.56</v>
      </c>
      <c r="CG103">
        <v>102</v>
      </c>
      <c r="CH103">
        <v>102</v>
      </c>
    </row>
    <row r="104" spans="1:86" x14ac:dyDescent="0.35">
      <c r="A104">
        <v>359606</v>
      </c>
      <c r="B104" s="2">
        <v>44205</v>
      </c>
      <c r="C104" s="2">
        <v>44205</v>
      </c>
      <c r="D104">
        <v>49</v>
      </c>
      <c r="E104">
        <v>162.01</v>
      </c>
      <c r="F104">
        <v>578.13</v>
      </c>
      <c r="G104">
        <v>225.73</v>
      </c>
      <c r="H104">
        <v>385.5</v>
      </c>
      <c r="I104">
        <v>32.65</v>
      </c>
      <c r="J104">
        <v>1302.4599999999998</v>
      </c>
      <c r="K104">
        <v>62.32</v>
      </c>
      <c r="L104">
        <v>225</v>
      </c>
      <c r="M104">
        <v>66.3</v>
      </c>
      <c r="N104">
        <v>1362.11</v>
      </c>
      <c r="O104">
        <v>0</v>
      </c>
      <c r="P104">
        <v>0</v>
      </c>
      <c r="R104">
        <v>63.629999999999995</v>
      </c>
      <c r="V104">
        <v>0</v>
      </c>
      <c r="W104">
        <v>0</v>
      </c>
      <c r="X104">
        <v>0</v>
      </c>
      <c r="Y104">
        <v>0</v>
      </c>
      <c r="Z104">
        <v>22</v>
      </c>
      <c r="AA104">
        <v>143</v>
      </c>
      <c r="AB104">
        <v>7</v>
      </c>
      <c r="AC104">
        <v>109.78</v>
      </c>
      <c r="AD104">
        <v>0</v>
      </c>
      <c r="AE104">
        <v>0</v>
      </c>
      <c r="AH104">
        <v>0</v>
      </c>
      <c r="AJ104">
        <v>121.4</v>
      </c>
      <c r="AN104">
        <v>158.1</v>
      </c>
      <c r="AO104">
        <v>0</v>
      </c>
      <c r="AP104">
        <v>-0.58000000000001251</v>
      </c>
      <c r="AQ104">
        <v>28</v>
      </c>
      <c r="AR104">
        <v>161.97</v>
      </c>
      <c r="AS104">
        <v>92</v>
      </c>
      <c r="AT104">
        <v>625.26</v>
      </c>
      <c r="AU104">
        <v>25</v>
      </c>
      <c r="AV104">
        <v>179.78</v>
      </c>
      <c r="AW104">
        <v>4</v>
      </c>
      <c r="AX104">
        <v>38.450000000000003</v>
      </c>
      <c r="AY104">
        <v>44</v>
      </c>
      <c r="AZ104">
        <v>204.94</v>
      </c>
      <c r="BP104">
        <v>4</v>
      </c>
      <c r="BQ104">
        <v>72.489999999999995</v>
      </c>
      <c r="BR104">
        <v>66.569999999999993</v>
      </c>
      <c r="BS104">
        <v>1364.78</v>
      </c>
      <c r="BV104">
        <v>9.5199999999999818</v>
      </c>
      <c r="BW104">
        <v>9.52</v>
      </c>
      <c r="BZ104">
        <v>1</v>
      </c>
      <c r="CA104">
        <v>2</v>
      </c>
      <c r="CB104">
        <v>44.61</v>
      </c>
      <c r="CG104">
        <v>103</v>
      </c>
      <c r="CH104">
        <v>103</v>
      </c>
    </row>
    <row r="105" spans="1:86" x14ac:dyDescent="0.35">
      <c r="A105">
        <v>352613</v>
      </c>
      <c r="B105" s="2">
        <v>44201</v>
      </c>
      <c r="C105" s="2">
        <v>44201</v>
      </c>
      <c r="D105">
        <v>85</v>
      </c>
      <c r="E105">
        <v>274.77999999999997</v>
      </c>
      <c r="F105">
        <v>1377.35</v>
      </c>
      <c r="G105">
        <v>503.25</v>
      </c>
      <c r="H105">
        <v>566.32000000000005</v>
      </c>
      <c r="I105">
        <v>139.43</v>
      </c>
      <c r="J105">
        <v>2785.35</v>
      </c>
      <c r="K105">
        <v>146.13</v>
      </c>
      <c r="L105">
        <v>528</v>
      </c>
      <c r="M105">
        <v>154.42000000000002</v>
      </c>
      <c r="N105">
        <v>2933.29</v>
      </c>
      <c r="O105">
        <v>1</v>
      </c>
      <c r="P105">
        <v>2.59</v>
      </c>
      <c r="Q105">
        <v>11</v>
      </c>
      <c r="R105">
        <v>40.690000000000005</v>
      </c>
      <c r="S105">
        <v>32</v>
      </c>
      <c r="T105">
        <v>58.03</v>
      </c>
      <c r="U105">
        <v>57.51</v>
      </c>
      <c r="V105">
        <v>1</v>
      </c>
      <c r="W105">
        <v>10</v>
      </c>
      <c r="X105">
        <v>11</v>
      </c>
      <c r="Y105">
        <v>0</v>
      </c>
      <c r="Z105">
        <v>95</v>
      </c>
      <c r="AA105">
        <v>415.78999999999996</v>
      </c>
      <c r="AB105">
        <v>39</v>
      </c>
      <c r="AC105">
        <v>118.02</v>
      </c>
      <c r="AD105">
        <v>13</v>
      </c>
      <c r="AE105">
        <v>20.05</v>
      </c>
      <c r="AF105">
        <v>0</v>
      </c>
      <c r="AG105">
        <v>0</v>
      </c>
      <c r="AH105">
        <v>0</v>
      </c>
      <c r="AI105">
        <v>0</v>
      </c>
      <c r="AJ105">
        <v>234.71</v>
      </c>
      <c r="AK105">
        <v>0</v>
      </c>
      <c r="AL105">
        <v>2439.9699999999998</v>
      </c>
      <c r="AM105">
        <v>0</v>
      </c>
      <c r="AN105">
        <v>65</v>
      </c>
      <c r="AO105">
        <v>0</v>
      </c>
      <c r="AP105">
        <v>-793.45</v>
      </c>
      <c r="AQ105">
        <v>61</v>
      </c>
      <c r="AR105">
        <v>446.21999999999997</v>
      </c>
      <c r="AS105">
        <v>188</v>
      </c>
      <c r="AT105">
        <v>1228.3999999999999</v>
      </c>
      <c r="AU105">
        <v>9</v>
      </c>
      <c r="AV105">
        <v>61.339999999999996</v>
      </c>
      <c r="AW105">
        <v>11</v>
      </c>
      <c r="AX105">
        <v>91.679999999999993</v>
      </c>
      <c r="AY105">
        <v>71</v>
      </c>
      <c r="AZ105">
        <v>220.52</v>
      </c>
      <c r="BA105">
        <v>1</v>
      </c>
      <c r="BB105">
        <v>5.59</v>
      </c>
      <c r="BC105">
        <v>0</v>
      </c>
      <c r="BD105">
        <v>0</v>
      </c>
      <c r="BE105">
        <v>5</v>
      </c>
      <c r="BF105">
        <v>27.22</v>
      </c>
      <c r="BG105">
        <v>1</v>
      </c>
      <c r="BH105">
        <v>4.96</v>
      </c>
      <c r="BI105">
        <v>0</v>
      </c>
      <c r="BJ105">
        <v>0</v>
      </c>
      <c r="BK105">
        <v>5</v>
      </c>
      <c r="BL105">
        <v>40.1</v>
      </c>
      <c r="BM105">
        <v>0</v>
      </c>
      <c r="BN105">
        <v>0</v>
      </c>
      <c r="BO105">
        <v>0</v>
      </c>
      <c r="BP105">
        <v>7</v>
      </c>
      <c r="BQ105">
        <v>68.75</v>
      </c>
      <c r="BR105">
        <v>54.16</v>
      </c>
      <c r="BS105">
        <v>492.51</v>
      </c>
      <c r="BT105">
        <v>0</v>
      </c>
      <c r="BU105">
        <v>0</v>
      </c>
      <c r="BV105">
        <v>0</v>
      </c>
      <c r="BW105">
        <v>0</v>
      </c>
      <c r="BX105">
        <v>0</v>
      </c>
      <c r="BY105">
        <v>0</v>
      </c>
      <c r="BZ105">
        <v>1</v>
      </c>
      <c r="CA105">
        <v>6</v>
      </c>
      <c r="CB105">
        <v>122.96</v>
      </c>
      <c r="CC105">
        <v>0</v>
      </c>
      <c r="CD105">
        <v>0</v>
      </c>
      <c r="CE105">
        <v>0</v>
      </c>
      <c r="CF105">
        <v>0</v>
      </c>
      <c r="CG105">
        <v>104</v>
      </c>
      <c r="CH105">
        <v>104</v>
      </c>
    </row>
    <row r="106" spans="1:86" x14ac:dyDescent="0.35">
      <c r="A106">
        <v>352613</v>
      </c>
      <c r="B106" s="2">
        <v>44202</v>
      </c>
      <c r="C106" s="2">
        <v>44202</v>
      </c>
      <c r="D106">
        <v>128</v>
      </c>
      <c r="E106">
        <v>455.38</v>
      </c>
      <c r="F106">
        <v>1887.69</v>
      </c>
      <c r="G106">
        <v>584.26</v>
      </c>
      <c r="H106">
        <v>851.44</v>
      </c>
      <c r="I106">
        <v>210.47</v>
      </c>
      <c r="J106">
        <v>3602.9000000000005</v>
      </c>
      <c r="K106">
        <v>212.49</v>
      </c>
      <c r="L106">
        <v>730</v>
      </c>
      <c r="M106">
        <v>216.82</v>
      </c>
      <c r="N106">
        <v>3764.8900000000003</v>
      </c>
      <c r="O106">
        <v>3</v>
      </c>
      <c r="P106">
        <v>47.97</v>
      </c>
      <c r="Q106">
        <v>3</v>
      </c>
      <c r="R106">
        <v>153.18</v>
      </c>
      <c r="S106">
        <v>5</v>
      </c>
      <c r="T106">
        <v>9.58</v>
      </c>
      <c r="U106">
        <v>3.56</v>
      </c>
      <c r="V106">
        <v>2</v>
      </c>
      <c r="W106">
        <v>35</v>
      </c>
      <c r="X106">
        <v>1</v>
      </c>
      <c r="Y106">
        <v>0</v>
      </c>
      <c r="Z106">
        <v>137</v>
      </c>
      <c r="AA106">
        <v>201.51999999999998</v>
      </c>
      <c r="AB106">
        <v>25</v>
      </c>
      <c r="AC106">
        <v>166.76999999999998</v>
      </c>
      <c r="AD106">
        <v>105</v>
      </c>
      <c r="AE106">
        <v>138.38</v>
      </c>
      <c r="AF106">
        <v>0</v>
      </c>
      <c r="AG106">
        <v>0</v>
      </c>
      <c r="AH106">
        <v>0</v>
      </c>
      <c r="AI106">
        <v>0</v>
      </c>
      <c r="AJ106">
        <v>269.23</v>
      </c>
      <c r="AK106">
        <v>0</v>
      </c>
      <c r="AL106">
        <v>454.07</v>
      </c>
      <c r="AM106">
        <v>0</v>
      </c>
      <c r="AN106">
        <v>1041</v>
      </c>
      <c r="AO106">
        <v>0</v>
      </c>
      <c r="AP106">
        <v>48.960000000000036</v>
      </c>
      <c r="AQ106">
        <v>85</v>
      </c>
      <c r="AR106">
        <v>534.73</v>
      </c>
      <c r="AS106">
        <v>285</v>
      </c>
      <c r="AT106">
        <v>1664.9699999999998</v>
      </c>
      <c r="AU106">
        <v>15</v>
      </c>
      <c r="AV106">
        <v>79.009999999999991</v>
      </c>
      <c r="AW106">
        <v>9</v>
      </c>
      <c r="AX106">
        <v>46.25</v>
      </c>
      <c r="AY106">
        <v>103</v>
      </c>
      <c r="AZ106">
        <v>430.2</v>
      </c>
      <c r="BA106">
        <v>0</v>
      </c>
      <c r="BB106">
        <v>0</v>
      </c>
      <c r="BC106">
        <v>0</v>
      </c>
      <c r="BD106">
        <v>0</v>
      </c>
      <c r="BE106">
        <v>0</v>
      </c>
      <c r="BF106">
        <v>0</v>
      </c>
      <c r="BG106">
        <v>0</v>
      </c>
      <c r="BH106">
        <v>0</v>
      </c>
      <c r="BI106">
        <v>0</v>
      </c>
      <c r="BJ106">
        <v>0</v>
      </c>
      <c r="BK106">
        <v>0</v>
      </c>
      <c r="BL106">
        <v>0</v>
      </c>
      <c r="BM106">
        <v>0</v>
      </c>
      <c r="BN106">
        <v>0</v>
      </c>
      <c r="BO106">
        <v>0</v>
      </c>
      <c r="BP106">
        <v>9</v>
      </c>
      <c r="BQ106">
        <v>100.52</v>
      </c>
      <c r="BR106">
        <v>118.71000000000001</v>
      </c>
      <c r="BS106">
        <v>3361.32</v>
      </c>
      <c r="BT106">
        <v>0</v>
      </c>
      <c r="BU106">
        <v>0</v>
      </c>
      <c r="BV106">
        <v>9.8000000000001819</v>
      </c>
      <c r="BW106">
        <v>9.8000000000000007</v>
      </c>
      <c r="BX106">
        <v>0</v>
      </c>
      <c r="BY106">
        <v>0</v>
      </c>
      <c r="BZ106">
        <v>1</v>
      </c>
      <c r="CA106">
        <v>3</v>
      </c>
      <c r="CB106">
        <v>32.49</v>
      </c>
      <c r="CC106">
        <v>0</v>
      </c>
      <c r="CD106">
        <v>0</v>
      </c>
      <c r="CE106">
        <v>1</v>
      </c>
      <c r="CF106">
        <v>6.46</v>
      </c>
      <c r="CG106">
        <v>105</v>
      </c>
      <c r="CH106">
        <v>105</v>
      </c>
    </row>
    <row r="107" spans="1:86" x14ac:dyDescent="0.35">
      <c r="A107">
        <v>352613</v>
      </c>
      <c r="B107" s="2">
        <v>44199</v>
      </c>
      <c r="C107" s="2">
        <v>44205</v>
      </c>
      <c r="D107">
        <v>739</v>
      </c>
      <c r="E107">
        <v>2503.08</v>
      </c>
      <c r="F107">
        <v>11367.28</v>
      </c>
      <c r="G107">
        <v>4090.5</v>
      </c>
      <c r="H107">
        <v>4592.7300000000005</v>
      </c>
      <c r="I107">
        <v>1064.98</v>
      </c>
      <c r="J107">
        <v>22047.59</v>
      </c>
      <c r="K107">
        <v>1833.07</v>
      </c>
      <c r="L107">
        <v>4251</v>
      </c>
      <c r="M107">
        <v>1883.4599999999998</v>
      </c>
      <c r="N107">
        <v>23018.39</v>
      </c>
      <c r="O107">
        <v>17</v>
      </c>
      <c r="P107">
        <v>94.72</v>
      </c>
      <c r="Q107">
        <v>31</v>
      </c>
      <c r="R107">
        <v>697.84000000000015</v>
      </c>
      <c r="S107">
        <v>87</v>
      </c>
      <c r="T107">
        <v>151.55000000000001</v>
      </c>
      <c r="U107">
        <v>155.37</v>
      </c>
      <c r="V107">
        <v>8</v>
      </c>
      <c r="W107">
        <v>95</v>
      </c>
      <c r="X107">
        <v>49</v>
      </c>
      <c r="Y107">
        <v>0</v>
      </c>
      <c r="Z107">
        <v>777</v>
      </c>
      <c r="AA107">
        <v>2221.7299999999996</v>
      </c>
      <c r="AB107">
        <v>164</v>
      </c>
      <c r="AC107">
        <v>1633.29</v>
      </c>
      <c r="AD107">
        <v>347</v>
      </c>
      <c r="AE107">
        <v>479.48</v>
      </c>
      <c r="AF107">
        <v>0</v>
      </c>
      <c r="AG107">
        <v>0</v>
      </c>
      <c r="AH107">
        <v>0</v>
      </c>
      <c r="AI107">
        <v>0</v>
      </c>
      <c r="AJ107">
        <v>1876.16</v>
      </c>
      <c r="AK107">
        <v>0</v>
      </c>
      <c r="AL107">
        <v>8788.73</v>
      </c>
      <c r="AM107">
        <v>0</v>
      </c>
      <c r="AN107">
        <v>5169</v>
      </c>
      <c r="AO107">
        <v>7.1</v>
      </c>
      <c r="AP107">
        <v>-1542.24</v>
      </c>
      <c r="AQ107">
        <v>469</v>
      </c>
      <c r="AR107">
        <v>3248.0699999999997</v>
      </c>
      <c r="AS107">
        <v>1682</v>
      </c>
      <c r="AT107">
        <v>10980.699999999999</v>
      </c>
      <c r="AU107">
        <v>108</v>
      </c>
      <c r="AV107">
        <v>733.03000000000009</v>
      </c>
      <c r="AW107">
        <v>41</v>
      </c>
      <c r="AX107">
        <v>281.37</v>
      </c>
      <c r="AY107">
        <v>527</v>
      </c>
      <c r="AZ107">
        <v>2203.5300000000002</v>
      </c>
      <c r="BA107">
        <v>2</v>
      </c>
      <c r="BB107">
        <v>10.54</v>
      </c>
      <c r="BC107">
        <v>1</v>
      </c>
      <c r="BD107">
        <v>2.16</v>
      </c>
      <c r="BE107">
        <v>22</v>
      </c>
      <c r="BF107">
        <v>123.6</v>
      </c>
      <c r="BG107">
        <v>4</v>
      </c>
      <c r="BH107">
        <v>22.34</v>
      </c>
      <c r="BI107">
        <v>0</v>
      </c>
      <c r="BJ107">
        <v>0</v>
      </c>
      <c r="BK107">
        <v>18</v>
      </c>
      <c r="BL107">
        <v>105.88</v>
      </c>
      <c r="BM107">
        <v>1</v>
      </c>
      <c r="BN107">
        <v>26.32</v>
      </c>
      <c r="BO107">
        <v>24.37</v>
      </c>
      <c r="BP107">
        <v>41</v>
      </c>
      <c r="BQ107">
        <v>491.77000000000004</v>
      </c>
      <c r="BR107">
        <v>498.07000000000005</v>
      </c>
      <c r="BS107">
        <v>15084.85</v>
      </c>
      <c r="BT107">
        <v>0</v>
      </c>
      <c r="BU107">
        <v>0</v>
      </c>
      <c r="BV107">
        <v>38.6299999999992</v>
      </c>
      <c r="BW107">
        <v>30.44</v>
      </c>
      <c r="BX107">
        <v>0</v>
      </c>
      <c r="BY107">
        <v>0</v>
      </c>
      <c r="BZ107">
        <v>2</v>
      </c>
      <c r="CA107">
        <v>41</v>
      </c>
      <c r="CB107">
        <v>550.98</v>
      </c>
      <c r="CC107">
        <v>2</v>
      </c>
      <c r="CD107">
        <v>29.07</v>
      </c>
      <c r="CE107">
        <v>3</v>
      </c>
      <c r="CF107">
        <v>83.129999999999981</v>
      </c>
      <c r="CG107">
        <v>106</v>
      </c>
      <c r="CH107">
        <v>106</v>
      </c>
    </row>
    <row r="108" spans="1:86" x14ac:dyDescent="0.35">
      <c r="A108">
        <v>357150</v>
      </c>
      <c r="B108" s="2">
        <v>44205</v>
      </c>
      <c r="C108" s="2">
        <v>44205</v>
      </c>
      <c r="D108">
        <v>142</v>
      </c>
      <c r="E108">
        <v>530.07999999999993</v>
      </c>
      <c r="F108">
        <v>1665.8600000000001</v>
      </c>
      <c r="G108">
        <v>514.55999999999995</v>
      </c>
      <c r="H108">
        <v>546.36</v>
      </c>
      <c r="I108">
        <v>83.27</v>
      </c>
      <c r="J108">
        <v>2976.57</v>
      </c>
      <c r="K108">
        <v>272.68</v>
      </c>
      <c r="L108">
        <v>463</v>
      </c>
      <c r="M108">
        <v>274.42</v>
      </c>
      <c r="N108">
        <v>3094.67</v>
      </c>
      <c r="O108">
        <v>0</v>
      </c>
      <c r="P108">
        <v>0</v>
      </c>
      <c r="R108">
        <v>119.84</v>
      </c>
      <c r="V108">
        <v>0</v>
      </c>
      <c r="W108">
        <v>0</v>
      </c>
      <c r="X108">
        <v>0</v>
      </c>
      <c r="Y108">
        <v>0</v>
      </c>
      <c r="Z108">
        <v>66</v>
      </c>
      <c r="AA108">
        <v>137.86000000000001</v>
      </c>
      <c r="AB108">
        <v>6</v>
      </c>
      <c r="AC108">
        <v>50.03</v>
      </c>
      <c r="AD108">
        <v>10</v>
      </c>
      <c r="AE108">
        <v>28.13</v>
      </c>
      <c r="AH108">
        <v>0</v>
      </c>
      <c r="AJ108">
        <v>260.10000000000002</v>
      </c>
      <c r="AN108">
        <v>0</v>
      </c>
      <c r="AO108">
        <v>0</v>
      </c>
      <c r="AP108">
        <v>-945.57</v>
      </c>
      <c r="AQ108">
        <v>74</v>
      </c>
      <c r="AR108">
        <v>648.53</v>
      </c>
      <c r="AS108">
        <v>159</v>
      </c>
      <c r="AT108">
        <v>1431.01</v>
      </c>
      <c r="AU108">
        <v>11</v>
      </c>
      <c r="AV108">
        <v>77.680000000000007</v>
      </c>
      <c r="AW108">
        <v>3</v>
      </c>
      <c r="AX108">
        <v>33.08</v>
      </c>
      <c r="AY108">
        <v>65</v>
      </c>
      <c r="AZ108">
        <v>373.48</v>
      </c>
      <c r="BS108">
        <v>3249.25</v>
      </c>
      <c r="BV108">
        <v>2.8000000000001819</v>
      </c>
      <c r="BW108">
        <v>2.8</v>
      </c>
      <c r="BZ108">
        <v>1</v>
      </c>
      <c r="CG108">
        <v>107</v>
      </c>
      <c r="CH108">
        <v>107</v>
      </c>
    </row>
    <row r="109" spans="1:86" x14ac:dyDescent="0.35">
      <c r="A109">
        <v>357150</v>
      </c>
      <c r="B109" s="2">
        <v>44204</v>
      </c>
      <c r="C109" s="2">
        <v>44204</v>
      </c>
      <c r="D109">
        <v>169</v>
      </c>
      <c r="E109">
        <v>610.91</v>
      </c>
      <c r="F109">
        <v>1933.35</v>
      </c>
      <c r="G109">
        <v>553</v>
      </c>
      <c r="H109">
        <v>528.73</v>
      </c>
      <c r="I109">
        <v>102.3</v>
      </c>
      <c r="J109">
        <v>3290.1700000000005</v>
      </c>
      <c r="K109">
        <v>227.08</v>
      </c>
      <c r="L109">
        <v>559</v>
      </c>
      <c r="M109">
        <v>227.08</v>
      </c>
      <c r="N109">
        <v>3485.6200000000003</v>
      </c>
      <c r="O109">
        <v>0</v>
      </c>
      <c r="P109">
        <v>0</v>
      </c>
      <c r="R109">
        <v>195.45000000000002</v>
      </c>
      <c r="V109">
        <v>3</v>
      </c>
      <c r="W109">
        <v>44.23</v>
      </c>
      <c r="X109">
        <v>0</v>
      </c>
      <c r="Y109">
        <v>0</v>
      </c>
      <c r="Z109">
        <v>63</v>
      </c>
      <c r="AA109">
        <v>252.29</v>
      </c>
      <c r="AB109">
        <v>6</v>
      </c>
      <c r="AC109">
        <v>63.3</v>
      </c>
      <c r="AD109">
        <v>41</v>
      </c>
      <c r="AE109">
        <v>57.26</v>
      </c>
      <c r="AH109">
        <v>0</v>
      </c>
      <c r="AJ109">
        <v>281.48</v>
      </c>
      <c r="AN109">
        <v>0</v>
      </c>
      <c r="AO109">
        <v>0</v>
      </c>
      <c r="AP109">
        <v>-1199.6600000000001</v>
      </c>
      <c r="AQ109">
        <v>75</v>
      </c>
      <c r="AR109">
        <v>489.23</v>
      </c>
      <c r="AS109">
        <v>194</v>
      </c>
      <c r="AT109">
        <v>1413.54</v>
      </c>
      <c r="AU109">
        <v>9</v>
      </c>
      <c r="AV109">
        <v>150.13999999999999</v>
      </c>
      <c r="AW109">
        <v>2</v>
      </c>
      <c r="AX109">
        <v>25.21</v>
      </c>
      <c r="AY109">
        <v>103</v>
      </c>
      <c r="AZ109">
        <v>565.17999999999995</v>
      </c>
      <c r="BS109">
        <v>3517.25</v>
      </c>
      <c r="BV109">
        <v>2.5799999999999272</v>
      </c>
      <c r="BW109">
        <v>2.58</v>
      </c>
      <c r="BZ109">
        <v>1</v>
      </c>
      <c r="CG109">
        <v>108</v>
      </c>
      <c r="CH109">
        <v>108</v>
      </c>
    </row>
    <row r="110" spans="1:86" x14ac:dyDescent="0.35">
      <c r="A110">
        <v>357150</v>
      </c>
      <c r="B110" s="2">
        <v>44203</v>
      </c>
      <c r="C110" s="2">
        <v>44203</v>
      </c>
      <c r="D110">
        <v>152</v>
      </c>
      <c r="E110">
        <v>565.68000000000006</v>
      </c>
      <c r="F110">
        <v>1575.3999999999996</v>
      </c>
      <c r="G110">
        <v>383.93</v>
      </c>
      <c r="H110">
        <v>363.47</v>
      </c>
      <c r="I110">
        <v>100.00999999999999</v>
      </c>
      <c r="J110">
        <v>2537.63</v>
      </c>
      <c r="K110">
        <v>229.49</v>
      </c>
      <c r="L110">
        <v>491</v>
      </c>
      <c r="M110">
        <v>230.51000000000002</v>
      </c>
      <c r="N110">
        <v>2639.94</v>
      </c>
      <c r="O110">
        <v>0</v>
      </c>
      <c r="P110">
        <v>0</v>
      </c>
      <c r="R110">
        <v>103.33</v>
      </c>
      <c r="V110">
        <v>1</v>
      </c>
      <c r="W110">
        <v>10</v>
      </c>
      <c r="X110">
        <v>0</v>
      </c>
      <c r="Y110">
        <v>0</v>
      </c>
      <c r="Z110">
        <v>58</v>
      </c>
      <c r="AA110">
        <v>266.83999999999997</v>
      </c>
      <c r="AB110">
        <v>6</v>
      </c>
      <c r="AC110">
        <v>32.909999999999997</v>
      </c>
      <c r="AD110">
        <v>49</v>
      </c>
      <c r="AE110">
        <v>73.92</v>
      </c>
      <c r="AH110">
        <v>0</v>
      </c>
      <c r="AJ110">
        <v>221.51</v>
      </c>
      <c r="AN110">
        <v>0</v>
      </c>
      <c r="AO110">
        <v>0</v>
      </c>
      <c r="AP110">
        <v>-839.44</v>
      </c>
      <c r="AQ110">
        <v>84</v>
      </c>
      <c r="AR110">
        <v>525.07000000000005</v>
      </c>
      <c r="AS110">
        <v>159</v>
      </c>
      <c r="AT110">
        <v>1101.3499999999999</v>
      </c>
      <c r="AU110">
        <v>12</v>
      </c>
      <c r="AV110">
        <v>61.82</v>
      </c>
      <c r="AW110">
        <v>6</v>
      </c>
      <c r="AX110">
        <v>37.71</v>
      </c>
      <c r="AY110">
        <v>83</v>
      </c>
      <c r="AZ110">
        <v>433.24</v>
      </c>
      <c r="BS110">
        <v>2767.12</v>
      </c>
      <c r="BV110">
        <v>0</v>
      </c>
      <c r="BW110">
        <v>0</v>
      </c>
      <c r="BZ110">
        <v>1</v>
      </c>
      <c r="CG110">
        <v>109</v>
      </c>
      <c r="CH110">
        <v>109</v>
      </c>
    </row>
    <row r="111" spans="1:86" x14ac:dyDescent="0.35">
      <c r="A111">
        <v>357150</v>
      </c>
      <c r="B111" s="2">
        <v>44202</v>
      </c>
      <c r="C111" s="2">
        <v>44202</v>
      </c>
      <c r="D111">
        <v>142</v>
      </c>
      <c r="E111">
        <v>524.17999999999995</v>
      </c>
      <c r="F111">
        <v>1393.88</v>
      </c>
      <c r="G111">
        <v>326.33999999999997</v>
      </c>
      <c r="H111">
        <v>389.67</v>
      </c>
      <c r="I111">
        <v>75.990000000000009</v>
      </c>
      <c r="J111">
        <v>2280.73</v>
      </c>
      <c r="K111">
        <v>186.30000000000004</v>
      </c>
      <c r="L111">
        <v>427</v>
      </c>
      <c r="M111">
        <v>191.69000000000003</v>
      </c>
      <c r="N111">
        <v>2360.38</v>
      </c>
      <c r="O111">
        <v>0</v>
      </c>
      <c r="P111">
        <v>0</v>
      </c>
      <c r="R111">
        <v>85.04</v>
      </c>
      <c r="V111">
        <v>1</v>
      </c>
      <c r="W111">
        <v>10</v>
      </c>
      <c r="X111">
        <v>0</v>
      </c>
      <c r="Y111">
        <v>0</v>
      </c>
      <c r="Z111">
        <v>49</v>
      </c>
      <c r="AA111">
        <v>123.6</v>
      </c>
      <c r="AB111">
        <v>1</v>
      </c>
      <c r="AC111">
        <v>0</v>
      </c>
      <c r="AD111">
        <v>37</v>
      </c>
      <c r="AE111">
        <v>75.180000000000007</v>
      </c>
      <c r="AH111">
        <v>0</v>
      </c>
      <c r="AJ111">
        <v>197.57</v>
      </c>
      <c r="AN111">
        <v>0</v>
      </c>
      <c r="AO111">
        <v>0</v>
      </c>
      <c r="AP111">
        <v>-756.37</v>
      </c>
      <c r="AQ111">
        <v>66</v>
      </c>
      <c r="AR111">
        <v>417.77</v>
      </c>
      <c r="AS111">
        <v>151</v>
      </c>
      <c r="AT111">
        <v>1077.01</v>
      </c>
      <c r="AU111">
        <v>6</v>
      </c>
      <c r="AV111">
        <v>64.819999999999993</v>
      </c>
      <c r="AW111">
        <v>5</v>
      </c>
      <c r="AX111">
        <v>14.43</v>
      </c>
      <c r="AY111">
        <v>71</v>
      </c>
      <c r="AZ111">
        <v>344.2</v>
      </c>
      <c r="BS111">
        <v>2467.0300000000002</v>
      </c>
      <c r="BV111">
        <v>0</v>
      </c>
      <c r="BW111">
        <v>0</v>
      </c>
      <c r="BZ111">
        <v>1</v>
      </c>
      <c r="CG111">
        <v>110</v>
      </c>
      <c r="CH111">
        <v>110</v>
      </c>
    </row>
    <row r="112" spans="1:86" x14ac:dyDescent="0.35">
      <c r="A112">
        <v>357150</v>
      </c>
      <c r="B112" s="2">
        <v>44206</v>
      </c>
      <c r="C112" s="2">
        <v>44206</v>
      </c>
      <c r="D112">
        <v>134</v>
      </c>
      <c r="E112">
        <v>495.86</v>
      </c>
      <c r="F112">
        <v>1666.7099999999998</v>
      </c>
      <c r="G112">
        <v>603.63</v>
      </c>
      <c r="H112">
        <v>552.25</v>
      </c>
      <c r="I112">
        <v>102.56</v>
      </c>
      <c r="J112">
        <v>3147.9700000000003</v>
      </c>
      <c r="K112">
        <v>227.23</v>
      </c>
      <c r="L112">
        <v>451</v>
      </c>
      <c r="M112">
        <v>236.56</v>
      </c>
      <c r="N112">
        <v>3266.26</v>
      </c>
      <c r="O112">
        <v>0</v>
      </c>
      <c r="P112">
        <v>0</v>
      </c>
      <c r="R112">
        <v>127.61999999999999</v>
      </c>
      <c r="V112">
        <v>8</v>
      </c>
      <c r="W112">
        <v>80</v>
      </c>
      <c r="X112">
        <v>0</v>
      </c>
      <c r="Y112">
        <v>0</v>
      </c>
      <c r="Z112">
        <v>87</v>
      </c>
      <c r="AA112">
        <v>373.45</v>
      </c>
      <c r="AB112">
        <v>41</v>
      </c>
      <c r="AC112">
        <v>181.06</v>
      </c>
      <c r="AD112">
        <v>37</v>
      </c>
      <c r="AE112">
        <v>73.17</v>
      </c>
      <c r="AH112">
        <v>0</v>
      </c>
      <c r="AJ112">
        <v>270.10000000000002</v>
      </c>
      <c r="AN112">
        <v>0</v>
      </c>
      <c r="AO112">
        <v>0</v>
      </c>
      <c r="AP112">
        <v>-830.55</v>
      </c>
      <c r="AQ112">
        <v>78</v>
      </c>
      <c r="AR112">
        <v>691.78</v>
      </c>
      <c r="AS112">
        <v>158</v>
      </c>
      <c r="AT112">
        <v>1514.65</v>
      </c>
      <c r="AU112">
        <v>13</v>
      </c>
      <c r="AV112">
        <v>155.84</v>
      </c>
      <c r="AW112">
        <v>7</v>
      </c>
      <c r="AX112">
        <v>118.96</v>
      </c>
      <c r="AY112">
        <v>63</v>
      </c>
      <c r="AZ112">
        <v>406.09</v>
      </c>
      <c r="BS112">
        <v>3368.32</v>
      </c>
      <c r="BV112">
        <v>205.90000000000009</v>
      </c>
      <c r="BW112">
        <v>198.47</v>
      </c>
      <c r="BZ112">
        <v>1</v>
      </c>
      <c r="CG112">
        <v>111</v>
      </c>
      <c r="CH112">
        <v>111</v>
      </c>
    </row>
    <row r="113" spans="1:86" x14ac:dyDescent="0.35">
      <c r="A113">
        <v>350432</v>
      </c>
      <c r="B113" s="2">
        <v>44206</v>
      </c>
      <c r="C113" s="2">
        <v>44206</v>
      </c>
      <c r="D113">
        <v>170</v>
      </c>
      <c r="E113" s="1">
        <v>594.58000000000004</v>
      </c>
      <c r="F113" s="1">
        <v>1827.31</v>
      </c>
      <c r="G113" s="1">
        <v>768.93</v>
      </c>
      <c r="H113" s="1">
        <v>1107.26</v>
      </c>
      <c r="I113" s="1">
        <v>149.61000000000001</v>
      </c>
      <c r="J113" s="1">
        <v>4107.51</v>
      </c>
      <c r="K113" s="1">
        <v>631.07000000000005</v>
      </c>
      <c r="L113">
        <v>684</v>
      </c>
      <c r="M113" s="1">
        <v>641.09</v>
      </c>
      <c r="N113" s="1">
        <v>4240.8500000000004</v>
      </c>
      <c r="O113">
        <v>0</v>
      </c>
      <c r="P113" s="1">
        <v>0</v>
      </c>
      <c r="Q113">
        <v>18</v>
      </c>
      <c r="R113" s="1">
        <v>22.17</v>
      </c>
      <c r="S113">
        <v>35</v>
      </c>
      <c r="T113" s="1">
        <v>66.36</v>
      </c>
      <c r="U113" s="1">
        <v>54.83</v>
      </c>
      <c r="V113">
        <v>0</v>
      </c>
      <c r="W113" s="1">
        <v>0</v>
      </c>
      <c r="X113">
        <v>15</v>
      </c>
      <c r="Y113" s="1">
        <v>0</v>
      </c>
      <c r="Z113">
        <v>184</v>
      </c>
      <c r="AA113" s="1">
        <v>606.22</v>
      </c>
      <c r="AB113">
        <v>17</v>
      </c>
      <c r="AC113" s="1">
        <v>48.21</v>
      </c>
      <c r="AD113">
        <v>3</v>
      </c>
      <c r="AE113" s="1">
        <v>0</v>
      </c>
      <c r="AF113" s="1">
        <v>0</v>
      </c>
      <c r="AG113" s="1">
        <v>0</v>
      </c>
      <c r="AH113" s="1">
        <v>0</v>
      </c>
      <c r="AI113" s="1">
        <v>0</v>
      </c>
      <c r="AJ113" s="1">
        <v>421.64</v>
      </c>
      <c r="AL113" s="1">
        <v>4738.58</v>
      </c>
      <c r="AM113" s="1">
        <v>0</v>
      </c>
      <c r="AN113" s="1">
        <v>746</v>
      </c>
      <c r="AO113" s="1">
        <v>22.51</v>
      </c>
      <c r="AP113" s="1">
        <v>7.91</v>
      </c>
      <c r="AQ113">
        <v>88</v>
      </c>
      <c r="AR113" s="1">
        <v>696.07</v>
      </c>
      <c r="AS113">
        <v>290</v>
      </c>
      <c r="AT113" s="1">
        <v>2242</v>
      </c>
      <c r="AU113">
        <v>28</v>
      </c>
      <c r="AV113" s="1">
        <v>339.12</v>
      </c>
      <c r="AW113">
        <v>11</v>
      </c>
      <c r="AX113" s="1">
        <v>91.02</v>
      </c>
      <c r="AY113">
        <v>89</v>
      </c>
      <c r="AZ113" s="1">
        <v>417.13</v>
      </c>
      <c r="BC113">
        <v>2</v>
      </c>
      <c r="BD113" s="1">
        <v>5.1100000000000003</v>
      </c>
      <c r="BE113">
        <v>17</v>
      </c>
      <c r="BF113" s="1">
        <v>120.92</v>
      </c>
      <c r="BG113">
        <v>2</v>
      </c>
      <c r="BH113" s="1">
        <v>9.02</v>
      </c>
      <c r="BK113">
        <v>8</v>
      </c>
      <c r="BL113" s="1">
        <v>33.229999999999997</v>
      </c>
      <c r="BP113">
        <v>21</v>
      </c>
      <c r="BQ113" s="1">
        <v>332.31</v>
      </c>
      <c r="BR113" s="1">
        <v>262.29000000000002</v>
      </c>
      <c r="BZ113">
        <v>1</v>
      </c>
      <c r="CA113">
        <v>7</v>
      </c>
      <c r="CB113" s="1">
        <v>113.69</v>
      </c>
      <c r="CG113">
        <v>112</v>
      </c>
      <c r="CH113">
        <v>112</v>
      </c>
    </row>
    <row r="114" spans="1:86" x14ac:dyDescent="0.35">
      <c r="A114">
        <v>350437</v>
      </c>
      <c r="B114" s="2">
        <v>44206</v>
      </c>
      <c r="C114" s="2">
        <v>44206</v>
      </c>
      <c r="D114">
        <v>79</v>
      </c>
      <c r="E114" s="1">
        <v>277.20999999999998</v>
      </c>
      <c r="F114" s="1">
        <v>1056.1500000000001</v>
      </c>
      <c r="G114" s="1">
        <v>480.74</v>
      </c>
      <c r="H114" s="1">
        <v>639.5</v>
      </c>
      <c r="I114" s="1">
        <v>94.73</v>
      </c>
      <c r="J114" s="1">
        <v>2411.52</v>
      </c>
      <c r="K114" s="1">
        <v>0</v>
      </c>
      <c r="L114">
        <v>355</v>
      </c>
      <c r="M114" s="1">
        <v>0</v>
      </c>
      <c r="N114" s="1">
        <v>2471.6799999999998</v>
      </c>
      <c r="O114">
        <v>0</v>
      </c>
      <c r="P114" s="1">
        <v>0</v>
      </c>
      <c r="Q114">
        <v>4</v>
      </c>
      <c r="R114" s="1">
        <v>5.25</v>
      </c>
      <c r="S114">
        <v>11</v>
      </c>
      <c r="T114" s="1">
        <v>19.41</v>
      </c>
      <c r="U114" s="1">
        <v>35.5</v>
      </c>
      <c r="V114">
        <v>1</v>
      </c>
      <c r="W114" s="1">
        <v>5</v>
      </c>
      <c r="X114">
        <v>17</v>
      </c>
      <c r="Y114" s="1">
        <v>0</v>
      </c>
      <c r="Z114">
        <v>50</v>
      </c>
      <c r="AA114" s="1">
        <v>161.21</v>
      </c>
      <c r="AB114">
        <v>3</v>
      </c>
      <c r="AC114" s="1">
        <v>9.8800000000000008</v>
      </c>
      <c r="AD114">
        <v>6</v>
      </c>
      <c r="AE114" s="1">
        <v>5.45</v>
      </c>
      <c r="AF114" s="1">
        <v>0</v>
      </c>
      <c r="AG114" s="1">
        <v>0</v>
      </c>
      <c r="AH114" s="1">
        <v>0</v>
      </c>
      <c r="AI114" s="1">
        <v>0</v>
      </c>
      <c r="AJ114" s="1">
        <v>214.54</v>
      </c>
      <c r="AL114" s="1">
        <v>2411.52</v>
      </c>
      <c r="AM114" s="1">
        <v>0</v>
      </c>
      <c r="AN114" s="1">
        <v>328</v>
      </c>
      <c r="AO114" s="1">
        <v>0</v>
      </c>
      <c r="AP114" s="1">
        <v>0.81</v>
      </c>
      <c r="AQ114">
        <v>40</v>
      </c>
      <c r="AR114" s="1">
        <v>334.52</v>
      </c>
      <c r="AS114">
        <v>142</v>
      </c>
      <c r="AT114" s="1">
        <v>1070.28</v>
      </c>
      <c r="AU114">
        <v>37</v>
      </c>
      <c r="AV114" s="1">
        <v>302.89</v>
      </c>
      <c r="AW114">
        <v>2</v>
      </c>
      <c r="AX114" s="1">
        <v>9.98</v>
      </c>
      <c r="AY114">
        <v>41</v>
      </c>
      <c r="AZ114" s="1">
        <v>188.63</v>
      </c>
      <c r="BA114">
        <v>2</v>
      </c>
      <c r="BB114" s="1">
        <v>12.04</v>
      </c>
      <c r="BC114">
        <v>1</v>
      </c>
      <c r="BD114" s="1">
        <v>11.55</v>
      </c>
      <c r="BE114">
        <v>11</v>
      </c>
      <c r="BF114" s="1">
        <v>87.09</v>
      </c>
      <c r="BK114">
        <v>4</v>
      </c>
      <c r="BL114" s="1">
        <v>34.200000000000003</v>
      </c>
      <c r="BP114">
        <v>14</v>
      </c>
      <c r="BQ114" s="1">
        <v>210.47</v>
      </c>
      <c r="BR114" s="1">
        <v>193.28</v>
      </c>
      <c r="BZ114">
        <v>1</v>
      </c>
      <c r="CA114">
        <v>4</v>
      </c>
      <c r="CB114" s="1">
        <v>42.22</v>
      </c>
      <c r="CG114">
        <v>113</v>
      </c>
      <c r="CH114">
        <v>113</v>
      </c>
    </row>
    <row r="115" spans="1:86" x14ac:dyDescent="0.35">
      <c r="A115">
        <v>351323</v>
      </c>
      <c r="B115" s="2">
        <v>44206</v>
      </c>
      <c r="C115" s="2">
        <v>44206</v>
      </c>
      <c r="D115">
        <v>143</v>
      </c>
      <c r="E115" s="1">
        <v>501.4</v>
      </c>
      <c r="F115" s="1">
        <v>1573.28</v>
      </c>
      <c r="G115" s="1">
        <v>603.75</v>
      </c>
      <c r="H115" s="1">
        <v>742.05</v>
      </c>
      <c r="I115" s="1">
        <v>133.1</v>
      </c>
      <c r="J115" s="1">
        <v>3231</v>
      </c>
      <c r="K115" s="1">
        <v>419.18</v>
      </c>
      <c r="L115">
        <v>538</v>
      </c>
      <c r="M115" s="1">
        <v>423.66</v>
      </c>
      <c r="N115" s="1">
        <v>3366.6</v>
      </c>
      <c r="O115">
        <v>0</v>
      </c>
      <c r="P115" s="1">
        <v>0</v>
      </c>
      <c r="Q115">
        <v>4</v>
      </c>
      <c r="R115" s="1">
        <v>2.59</v>
      </c>
      <c r="S115">
        <v>45</v>
      </c>
      <c r="T115" s="1">
        <v>73.97</v>
      </c>
      <c r="U115" s="1">
        <v>63.52</v>
      </c>
      <c r="V115">
        <v>0</v>
      </c>
      <c r="W115" s="1">
        <v>0</v>
      </c>
      <c r="X115">
        <v>4</v>
      </c>
      <c r="Y115" s="1">
        <v>0</v>
      </c>
      <c r="Z115">
        <v>119</v>
      </c>
      <c r="AA115" s="1">
        <v>365.56</v>
      </c>
      <c r="AB115">
        <v>16</v>
      </c>
      <c r="AC115" s="1">
        <v>29.96</v>
      </c>
      <c r="AD115">
        <v>2</v>
      </c>
      <c r="AE115" s="1">
        <v>4.34</v>
      </c>
      <c r="AF115" s="1">
        <v>0</v>
      </c>
      <c r="AG115" s="1">
        <v>0</v>
      </c>
      <c r="AH115" s="1">
        <v>0</v>
      </c>
      <c r="AI115" s="1">
        <v>0</v>
      </c>
      <c r="AJ115" s="1">
        <v>218.88</v>
      </c>
      <c r="AL115" s="1">
        <v>3650.18</v>
      </c>
      <c r="AM115" s="1">
        <v>0</v>
      </c>
      <c r="AN115" s="1">
        <v>662</v>
      </c>
      <c r="AO115" s="1">
        <v>0</v>
      </c>
      <c r="AP115" s="1">
        <v>-11.19</v>
      </c>
      <c r="AQ115">
        <v>78</v>
      </c>
      <c r="AR115" s="1">
        <v>559.6</v>
      </c>
      <c r="AS115">
        <v>247</v>
      </c>
      <c r="AT115" s="1">
        <v>1951.48</v>
      </c>
      <c r="AU115">
        <v>10</v>
      </c>
      <c r="AV115" s="1">
        <v>82.07</v>
      </c>
      <c r="AW115">
        <v>4</v>
      </c>
      <c r="AX115" s="1">
        <v>22.29</v>
      </c>
      <c r="AY115">
        <v>88</v>
      </c>
      <c r="AZ115" s="1">
        <v>346.32</v>
      </c>
      <c r="BA115">
        <v>1</v>
      </c>
      <c r="BB115" s="1">
        <v>5.38</v>
      </c>
      <c r="BC115">
        <v>1</v>
      </c>
      <c r="BD115" s="1">
        <v>13.17</v>
      </c>
      <c r="BE115">
        <v>16</v>
      </c>
      <c r="BF115" s="1">
        <v>83.89</v>
      </c>
      <c r="BG115">
        <v>4</v>
      </c>
      <c r="BH115" s="1">
        <v>24.63</v>
      </c>
      <c r="BK115">
        <v>5</v>
      </c>
      <c r="BL115" s="1">
        <v>56.76</v>
      </c>
      <c r="BM115">
        <v>1</v>
      </c>
      <c r="BN115" s="1">
        <v>10.14</v>
      </c>
      <c r="BO115" s="1">
        <v>9.57</v>
      </c>
      <c r="BP115">
        <v>2</v>
      </c>
      <c r="BQ115" s="1">
        <v>30</v>
      </c>
      <c r="BR115" s="1">
        <v>28.3</v>
      </c>
      <c r="BZ115">
        <v>1</v>
      </c>
      <c r="CA115">
        <v>1</v>
      </c>
      <c r="CB115" s="1">
        <v>10.14</v>
      </c>
      <c r="CG115">
        <v>114</v>
      </c>
      <c r="CH115">
        <v>114</v>
      </c>
    </row>
    <row r="116" spans="1:86" x14ac:dyDescent="0.35">
      <c r="A116">
        <v>353927</v>
      </c>
      <c r="B116" s="2">
        <v>44206</v>
      </c>
      <c r="C116" s="2">
        <v>44206</v>
      </c>
      <c r="D116">
        <v>149</v>
      </c>
      <c r="E116" s="1">
        <v>490.75</v>
      </c>
      <c r="F116" s="1">
        <v>1469.91</v>
      </c>
      <c r="G116" s="1">
        <v>627.07000000000005</v>
      </c>
      <c r="H116" s="1">
        <v>689.45</v>
      </c>
      <c r="I116" s="1">
        <v>63.38</v>
      </c>
      <c r="J116" s="1">
        <v>3025.28</v>
      </c>
      <c r="K116" s="1">
        <v>0</v>
      </c>
      <c r="L116">
        <v>411</v>
      </c>
      <c r="M116" s="1">
        <v>0</v>
      </c>
      <c r="N116" s="1">
        <v>3158.42</v>
      </c>
      <c r="O116">
        <v>0</v>
      </c>
      <c r="P116" s="1">
        <v>0</v>
      </c>
      <c r="Q116">
        <v>6</v>
      </c>
      <c r="R116" s="1">
        <v>11.6</v>
      </c>
      <c r="S116">
        <v>39</v>
      </c>
      <c r="T116" s="1">
        <v>63.32</v>
      </c>
      <c r="U116" s="1">
        <v>58.22</v>
      </c>
      <c r="V116">
        <v>2</v>
      </c>
      <c r="W116" s="1">
        <v>30</v>
      </c>
      <c r="X116">
        <v>15</v>
      </c>
      <c r="Y116" s="1">
        <v>0</v>
      </c>
      <c r="Z116">
        <v>76</v>
      </c>
      <c r="AA116" s="1">
        <v>212.07</v>
      </c>
      <c r="AB116">
        <v>10</v>
      </c>
      <c r="AC116" s="1">
        <v>28.32</v>
      </c>
      <c r="AD116">
        <v>1</v>
      </c>
      <c r="AE116" s="1">
        <v>0</v>
      </c>
      <c r="AF116" s="1">
        <v>0</v>
      </c>
      <c r="AG116" s="1">
        <v>0</v>
      </c>
      <c r="AH116" s="1">
        <v>0</v>
      </c>
      <c r="AI116" s="1">
        <v>0</v>
      </c>
      <c r="AJ116" s="1">
        <v>181.58</v>
      </c>
      <c r="AL116" s="1">
        <v>3025.28</v>
      </c>
      <c r="AM116" s="1">
        <v>0</v>
      </c>
      <c r="AN116" s="1">
        <v>683</v>
      </c>
      <c r="AO116" s="1">
        <v>0</v>
      </c>
      <c r="AP116" s="1">
        <v>-153.13999999999999</v>
      </c>
      <c r="AQ116">
        <v>53</v>
      </c>
      <c r="AR116" s="1">
        <v>437.15</v>
      </c>
      <c r="AS116">
        <v>178</v>
      </c>
      <c r="AT116" s="1">
        <v>1443.4</v>
      </c>
      <c r="AU116">
        <v>4</v>
      </c>
      <c r="AV116" s="1">
        <v>32.11</v>
      </c>
      <c r="AW116">
        <v>4</v>
      </c>
      <c r="AX116" s="1">
        <v>37.479999999999997</v>
      </c>
      <c r="AY116">
        <v>40</v>
      </c>
      <c r="AZ116" s="1">
        <v>167.93</v>
      </c>
      <c r="BE116">
        <v>10</v>
      </c>
      <c r="BF116" s="1">
        <v>82.06</v>
      </c>
      <c r="BK116">
        <v>7</v>
      </c>
      <c r="BL116" s="1">
        <v>52.78</v>
      </c>
      <c r="BP116">
        <v>6</v>
      </c>
      <c r="BQ116" s="1">
        <v>98.34</v>
      </c>
      <c r="BR116" s="1">
        <v>92.77</v>
      </c>
      <c r="BZ116">
        <v>1</v>
      </c>
      <c r="CA116">
        <v>6</v>
      </c>
      <c r="CB116" s="1">
        <v>49.47</v>
      </c>
      <c r="CG116">
        <v>115</v>
      </c>
      <c r="CH116">
        <v>115</v>
      </c>
    </row>
    <row r="117" spans="1:86" x14ac:dyDescent="0.35">
      <c r="A117">
        <v>354030</v>
      </c>
      <c r="B117" s="2">
        <v>44206</v>
      </c>
      <c r="C117" s="2">
        <v>44206</v>
      </c>
      <c r="D117">
        <v>139</v>
      </c>
      <c r="E117" s="1">
        <v>488.58</v>
      </c>
      <c r="F117" s="1">
        <v>1453.63</v>
      </c>
      <c r="G117" s="1">
        <v>799.78</v>
      </c>
      <c r="H117" s="1">
        <v>636.44000000000005</v>
      </c>
      <c r="I117" s="1">
        <v>140.36000000000001</v>
      </c>
      <c r="J117" s="1">
        <v>3202.77</v>
      </c>
      <c r="K117" s="1">
        <v>172.17</v>
      </c>
      <c r="L117">
        <v>481</v>
      </c>
      <c r="M117" s="1">
        <v>172.17</v>
      </c>
      <c r="N117" s="1">
        <v>3366.75</v>
      </c>
      <c r="O117">
        <v>2</v>
      </c>
      <c r="P117" s="1">
        <v>14.03</v>
      </c>
      <c r="Q117">
        <v>4</v>
      </c>
      <c r="R117" s="1">
        <v>1.03</v>
      </c>
      <c r="S117">
        <v>23</v>
      </c>
      <c r="T117" s="1">
        <v>53.54</v>
      </c>
      <c r="U117" s="1">
        <v>95.38</v>
      </c>
      <c r="V117">
        <v>3</v>
      </c>
      <c r="W117" s="1">
        <v>60</v>
      </c>
      <c r="X117">
        <v>15</v>
      </c>
      <c r="Y117" s="1">
        <v>0</v>
      </c>
      <c r="Z117">
        <v>75</v>
      </c>
      <c r="AA117" s="1">
        <v>201.89</v>
      </c>
      <c r="AB117">
        <v>5</v>
      </c>
      <c r="AC117" s="1">
        <v>12.15</v>
      </c>
      <c r="AD117">
        <v>3</v>
      </c>
      <c r="AE117" s="1">
        <v>16.72</v>
      </c>
      <c r="AF117" s="1">
        <v>0</v>
      </c>
      <c r="AG117" s="1">
        <v>0</v>
      </c>
      <c r="AH117" s="1">
        <v>0</v>
      </c>
      <c r="AI117" s="1">
        <v>0</v>
      </c>
      <c r="AJ117" s="1">
        <v>202.39</v>
      </c>
      <c r="AL117" s="1">
        <v>3374.94</v>
      </c>
      <c r="AM117" s="1">
        <v>0</v>
      </c>
      <c r="AN117" s="1">
        <v>507</v>
      </c>
      <c r="AO117" s="1">
        <v>0</v>
      </c>
      <c r="AP117" s="1">
        <v>0.02</v>
      </c>
      <c r="AQ117">
        <v>58</v>
      </c>
      <c r="AR117" s="1">
        <v>467.73</v>
      </c>
      <c r="AS117">
        <v>189</v>
      </c>
      <c r="AT117" s="1">
        <v>1646.22</v>
      </c>
      <c r="AU117">
        <v>15</v>
      </c>
      <c r="AV117" s="1">
        <v>143.65</v>
      </c>
      <c r="AW117">
        <v>4</v>
      </c>
      <c r="AX117" s="1">
        <v>17.91</v>
      </c>
      <c r="AY117">
        <v>69</v>
      </c>
      <c r="AZ117" s="1">
        <v>309.62</v>
      </c>
      <c r="BE117">
        <v>33</v>
      </c>
      <c r="BF117" s="1">
        <v>208.29</v>
      </c>
      <c r="BG117">
        <v>2</v>
      </c>
      <c r="BH117" s="1">
        <v>32.39</v>
      </c>
      <c r="BI117">
        <v>1</v>
      </c>
      <c r="BJ117" s="1">
        <v>46.63</v>
      </c>
      <c r="BK117">
        <v>8</v>
      </c>
      <c r="BL117" s="1">
        <v>91.56</v>
      </c>
      <c r="BM117">
        <v>3</v>
      </c>
      <c r="BN117" s="1">
        <v>13.17</v>
      </c>
      <c r="BO117" s="1">
        <v>12.42</v>
      </c>
      <c r="BZ117">
        <v>1</v>
      </c>
      <c r="CA117">
        <v>11</v>
      </c>
      <c r="CB117" s="1">
        <v>153.18</v>
      </c>
      <c r="CG117">
        <v>116</v>
      </c>
      <c r="CH117">
        <v>116</v>
      </c>
    </row>
    <row r="118" spans="1:86" x14ac:dyDescent="0.35">
      <c r="A118">
        <v>355439</v>
      </c>
      <c r="B118" s="2">
        <v>44206</v>
      </c>
      <c r="C118" s="2">
        <v>44206</v>
      </c>
      <c r="D118">
        <v>223</v>
      </c>
      <c r="E118" s="1">
        <v>754.63</v>
      </c>
      <c r="F118" s="1">
        <v>1903.73</v>
      </c>
      <c r="G118" s="1">
        <v>976.75</v>
      </c>
      <c r="H118" s="1">
        <v>989.65</v>
      </c>
      <c r="I118" s="1">
        <v>183.76</v>
      </c>
      <c r="J118" s="1">
        <v>4331.8100000000004</v>
      </c>
      <c r="K118" s="1">
        <v>0</v>
      </c>
      <c r="L118">
        <v>636</v>
      </c>
      <c r="M118" s="1">
        <v>0</v>
      </c>
      <c r="N118" s="1">
        <v>4478.5200000000004</v>
      </c>
      <c r="O118">
        <v>0</v>
      </c>
      <c r="P118" s="1">
        <v>0</v>
      </c>
      <c r="Q118">
        <v>6</v>
      </c>
      <c r="R118" s="1">
        <v>3.42</v>
      </c>
      <c r="S118">
        <v>30</v>
      </c>
      <c r="T118" s="1">
        <v>73.77</v>
      </c>
      <c r="U118" s="1">
        <v>69.52</v>
      </c>
      <c r="V118">
        <v>0</v>
      </c>
      <c r="W118" s="1">
        <v>0</v>
      </c>
      <c r="X118">
        <v>15</v>
      </c>
      <c r="Y118" s="1">
        <v>0</v>
      </c>
      <c r="Z118">
        <v>93</v>
      </c>
      <c r="AA118" s="1">
        <v>245.72</v>
      </c>
      <c r="AB118">
        <v>12</v>
      </c>
      <c r="AC118" s="1">
        <v>35.78</v>
      </c>
      <c r="AD118">
        <v>2</v>
      </c>
      <c r="AE118" s="1">
        <v>10.11</v>
      </c>
      <c r="AF118" s="1">
        <v>0.05</v>
      </c>
      <c r="AG118" s="1">
        <v>0</v>
      </c>
      <c r="AH118" s="1">
        <v>0</v>
      </c>
      <c r="AI118" s="1">
        <v>0</v>
      </c>
      <c r="AJ118" s="1">
        <v>346.7</v>
      </c>
      <c r="AL118" s="1">
        <v>4331.8599999999997</v>
      </c>
      <c r="AM118" s="1">
        <v>0</v>
      </c>
      <c r="AN118" s="1">
        <v>554</v>
      </c>
      <c r="AO118" s="1">
        <v>0</v>
      </c>
      <c r="AP118" s="1">
        <v>-34.82</v>
      </c>
      <c r="AQ118">
        <v>88</v>
      </c>
      <c r="AR118" s="1">
        <v>667.98</v>
      </c>
      <c r="AS118">
        <v>264</v>
      </c>
      <c r="AT118" s="1">
        <v>2009.9</v>
      </c>
      <c r="AU118">
        <v>41</v>
      </c>
      <c r="AV118" s="1">
        <v>447.98</v>
      </c>
      <c r="AW118">
        <v>6</v>
      </c>
      <c r="AX118" s="1">
        <v>63.31</v>
      </c>
      <c r="AY118">
        <v>57</v>
      </c>
      <c r="AZ118" s="1">
        <v>295.08999999999997</v>
      </c>
      <c r="BA118">
        <v>2</v>
      </c>
      <c r="BB118" s="1">
        <v>13.47</v>
      </c>
      <c r="BC118">
        <v>10</v>
      </c>
      <c r="BD118" s="1">
        <v>114.85</v>
      </c>
      <c r="BE118">
        <v>25</v>
      </c>
      <c r="BF118" s="1">
        <v>177.71</v>
      </c>
      <c r="BG118">
        <v>2</v>
      </c>
      <c r="BH118" s="1">
        <v>13.39</v>
      </c>
      <c r="BK118">
        <v>13</v>
      </c>
      <c r="BL118" s="1">
        <v>112.04</v>
      </c>
      <c r="BP118">
        <v>7</v>
      </c>
      <c r="BQ118" s="1">
        <v>83.89</v>
      </c>
      <c r="BR118" s="1">
        <v>77.66</v>
      </c>
      <c r="BZ118">
        <v>1</v>
      </c>
      <c r="CA118">
        <v>8</v>
      </c>
      <c r="CB118" s="1">
        <v>90.13</v>
      </c>
      <c r="CG118">
        <v>117</v>
      </c>
      <c r="CH118">
        <v>117</v>
      </c>
    </row>
    <row r="119" spans="1:86" x14ac:dyDescent="0.35">
      <c r="A119">
        <v>350432</v>
      </c>
      <c r="B119" s="2">
        <v>44207</v>
      </c>
      <c r="C119" s="2">
        <v>44207</v>
      </c>
      <c r="D119">
        <v>165</v>
      </c>
      <c r="E119" s="1">
        <v>510.17</v>
      </c>
      <c r="F119" s="1">
        <v>1744.81</v>
      </c>
      <c r="G119" s="1">
        <v>491.26</v>
      </c>
      <c r="H119" s="1">
        <v>780.47</v>
      </c>
      <c r="I119" s="1">
        <v>127.52</v>
      </c>
      <c r="J119" s="1">
        <v>3384.48</v>
      </c>
      <c r="K119" s="1">
        <v>469.89</v>
      </c>
      <c r="L119">
        <v>688</v>
      </c>
      <c r="M119" s="1">
        <v>478.07</v>
      </c>
      <c r="N119" s="1">
        <v>3505.18</v>
      </c>
      <c r="O119">
        <v>4</v>
      </c>
      <c r="P119" s="1">
        <v>20.440000000000001</v>
      </c>
      <c r="Q119">
        <v>9</v>
      </c>
      <c r="R119" s="1">
        <v>12.79</v>
      </c>
      <c r="S119">
        <v>34</v>
      </c>
      <c r="T119" s="1">
        <v>56.14</v>
      </c>
      <c r="U119" s="1">
        <v>39.51</v>
      </c>
      <c r="V119">
        <v>0</v>
      </c>
      <c r="W119" s="1">
        <v>0</v>
      </c>
      <c r="X119">
        <v>18</v>
      </c>
      <c r="Y119" s="1">
        <v>0</v>
      </c>
      <c r="Z119">
        <v>156</v>
      </c>
      <c r="AA119" s="1">
        <v>567.29999999999995</v>
      </c>
      <c r="AB119">
        <v>14</v>
      </c>
      <c r="AC119" s="1">
        <v>42.62</v>
      </c>
      <c r="AD119">
        <v>4</v>
      </c>
      <c r="AE119" s="1">
        <v>12.82</v>
      </c>
      <c r="AF119" s="1">
        <v>0</v>
      </c>
      <c r="AG119" s="1">
        <v>0</v>
      </c>
      <c r="AH119" s="1">
        <v>0</v>
      </c>
      <c r="AI119" s="1">
        <v>0</v>
      </c>
      <c r="AJ119" s="1">
        <v>342.77</v>
      </c>
      <c r="AL119" s="1">
        <v>3854.37</v>
      </c>
      <c r="AM119" s="1">
        <v>0</v>
      </c>
      <c r="AN119" s="1">
        <v>991</v>
      </c>
      <c r="AO119" s="1">
        <v>0</v>
      </c>
      <c r="AP119" s="1">
        <v>-38.159999999999997</v>
      </c>
      <c r="AQ119">
        <v>94</v>
      </c>
      <c r="AR119" s="1">
        <v>625.05999999999995</v>
      </c>
      <c r="AS119">
        <v>268</v>
      </c>
      <c r="AT119" s="1">
        <v>1649.1</v>
      </c>
      <c r="AU119">
        <v>29</v>
      </c>
      <c r="AV119" s="1">
        <v>189.57</v>
      </c>
      <c r="AW119">
        <v>7</v>
      </c>
      <c r="AX119" s="1">
        <v>40.79</v>
      </c>
      <c r="AY119">
        <v>73</v>
      </c>
      <c r="AZ119" s="1">
        <v>307.60000000000002</v>
      </c>
      <c r="BA119">
        <v>2</v>
      </c>
      <c r="BB119" s="1">
        <v>10</v>
      </c>
      <c r="BC119">
        <v>2</v>
      </c>
      <c r="BD119" s="1">
        <v>9.76</v>
      </c>
      <c r="BE119">
        <v>12</v>
      </c>
      <c r="BF119" s="1">
        <v>55.34</v>
      </c>
      <c r="BG119">
        <v>1</v>
      </c>
      <c r="BH119" s="1">
        <v>4.67</v>
      </c>
      <c r="BK119">
        <v>4</v>
      </c>
      <c r="BL119" s="1">
        <v>29.95</v>
      </c>
      <c r="BP119">
        <v>15</v>
      </c>
      <c r="BQ119" s="1">
        <v>192.33</v>
      </c>
      <c r="BR119" s="1">
        <v>176.52</v>
      </c>
      <c r="BZ119">
        <v>1</v>
      </c>
      <c r="CA119">
        <v>2</v>
      </c>
      <c r="CB119" s="1">
        <v>53.81</v>
      </c>
      <c r="CG119">
        <v>118</v>
      </c>
      <c r="CH119">
        <v>118</v>
      </c>
    </row>
    <row r="120" spans="1:86" x14ac:dyDescent="0.35">
      <c r="A120">
        <v>350437</v>
      </c>
      <c r="B120" s="2">
        <v>44207</v>
      </c>
      <c r="C120" s="2">
        <v>44207</v>
      </c>
      <c r="D120">
        <v>93</v>
      </c>
      <c r="E120" s="1">
        <v>281.62</v>
      </c>
      <c r="F120" s="1">
        <v>1048.9000000000001</v>
      </c>
      <c r="G120" s="1">
        <v>380.21</v>
      </c>
      <c r="H120" s="1">
        <v>516.88</v>
      </c>
      <c r="I120" s="1">
        <v>79.53</v>
      </c>
      <c r="J120" s="1">
        <v>2165.8200000000002</v>
      </c>
      <c r="K120" s="1">
        <v>0</v>
      </c>
      <c r="L120">
        <v>401</v>
      </c>
      <c r="M120" s="1">
        <v>0</v>
      </c>
      <c r="N120" s="1">
        <v>2267.2199999999998</v>
      </c>
      <c r="O120">
        <v>1</v>
      </c>
      <c r="P120" s="1">
        <v>28.74</v>
      </c>
      <c r="Q120">
        <v>5</v>
      </c>
      <c r="R120" s="1">
        <v>1.45</v>
      </c>
      <c r="S120">
        <v>15</v>
      </c>
      <c r="T120" s="1">
        <v>30.39</v>
      </c>
      <c r="U120" s="1">
        <v>40.82</v>
      </c>
      <c r="V120">
        <v>1</v>
      </c>
      <c r="W120" s="1">
        <v>30</v>
      </c>
      <c r="X120">
        <v>8</v>
      </c>
      <c r="Y120" s="1">
        <v>0</v>
      </c>
      <c r="Z120">
        <v>56</v>
      </c>
      <c r="AA120" s="1">
        <v>183.67</v>
      </c>
      <c r="AB120">
        <v>6</v>
      </c>
      <c r="AC120" s="1">
        <v>14.6</v>
      </c>
      <c r="AD120">
        <v>0</v>
      </c>
      <c r="AE120" s="1">
        <v>0</v>
      </c>
      <c r="AF120" s="1">
        <v>0</v>
      </c>
      <c r="AG120" s="1">
        <v>0</v>
      </c>
      <c r="AH120" s="1">
        <v>0</v>
      </c>
      <c r="AI120" s="1">
        <v>0</v>
      </c>
      <c r="AJ120" s="1">
        <v>192.65</v>
      </c>
      <c r="AL120" s="1">
        <v>2165.8200000000002</v>
      </c>
      <c r="AM120" s="1">
        <v>0</v>
      </c>
      <c r="AN120" s="1">
        <v>411</v>
      </c>
      <c r="AO120" s="1">
        <v>0</v>
      </c>
      <c r="AP120" s="1">
        <v>-3.29</v>
      </c>
      <c r="AQ120">
        <v>45</v>
      </c>
      <c r="AR120" s="1">
        <v>278.39999999999998</v>
      </c>
      <c r="AS120">
        <v>159</v>
      </c>
      <c r="AT120" s="1">
        <v>966.95</v>
      </c>
      <c r="AU120">
        <v>41</v>
      </c>
      <c r="AV120" s="1">
        <v>284.81</v>
      </c>
      <c r="AW120">
        <v>4</v>
      </c>
      <c r="AX120" s="1">
        <v>29.74</v>
      </c>
      <c r="AY120">
        <v>48</v>
      </c>
      <c r="AZ120" s="1">
        <v>216.93</v>
      </c>
      <c r="BC120">
        <v>1</v>
      </c>
      <c r="BD120" s="1">
        <v>7.59</v>
      </c>
      <c r="BE120">
        <v>12</v>
      </c>
      <c r="BF120" s="1">
        <v>55.77</v>
      </c>
      <c r="BG120">
        <v>1</v>
      </c>
      <c r="BH120" s="1">
        <v>4.33</v>
      </c>
      <c r="BK120">
        <v>5</v>
      </c>
      <c r="BL120" s="1">
        <v>34.11</v>
      </c>
      <c r="BP120">
        <v>2</v>
      </c>
      <c r="BQ120" s="1">
        <v>30.67</v>
      </c>
      <c r="BR120" s="1">
        <v>28.17</v>
      </c>
      <c r="BZ120">
        <v>1</v>
      </c>
      <c r="CA120">
        <v>4</v>
      </c>
      <c r="CB120" s="1">
        <v>64.88</v>
      </c>
      <c r="CG120">
        <v>119</v>
      </c>
      <c r="CH120">
        <v>119</v>
      </c>
    </row>
    <row r="121" spans="1:86" x14ac:dyDescent="0.35">
      <c r="A121">
        <v>351323</v>
      </c>
      <c r="B121" s="2">
        <v>44207</v>
      </c>
      <c r="C121" s="2">
        <v>44207</v>
      </c>
      <c r="D121">
        <v>135</v>
      </c>
      <c r="E121" s="1">
        <v>433.67</v>
      </c>
      <c r="F121" s="1">
        <v>1588.61</v>
      </c>
      <c r="G121" s="1">
        <v>483.03</v>
      </c>
      <c r="H121" s="1">
        <v>777.79</v>
      </c>
      <c r="I121" s="1">
        <v>142.06</v>
      </c>
      <c r="J121" s="1">
        <v>3153.08</v>
      </c>
      <c r="K121" s="1">
        <v>216.63</v>
      </c>
      <c r="L121">
        <v>632</v>
      </c>
      <c r="M121" s="1">
        <v>221.01</v>
      </c>
      <c r="N121" s="1">
        <v>3331.63</v>
      </c>
      <c r="O121">
        <v>1</v>
      </c>
      <c r="P121" s="1">
        <v>9.49</v>
      </c>
      <c r="Q121">
        <v>8</v>
      </c>
      <c r="R121" s="1">
        <v>2.5099999999999998</v>
      </c>
      <c r="S121">
        <v>62</v>
      </c>
      <c r="T121" s="1">
        <v>113.19</v>
      </c>
      <c r="U121" s="1">
        <v>57.74</v>
      </c>
      <c r="V121">
        <v>1</v>
      </c>
      <c r="W121" s="1">
        <v>20</v>
      </c>
      <c r="X121">
        <v>9</v>
      </c>
      <c r="Y121" s="1">
        <v>0</v>
      </c>
      <c r="Z121">
        <v>69</v>
      </c>
      <c r="AA121" s="1">
        <v>211.23</v>
      </c>
      <c r="AB121">
        <v>29</v>
      </c>
      <c r="AC121" s="1">
        <v>86.36</v>
      </c>
      <c r="AD121">
        <v>11</v>
      </c>
      <c r="AE121" s="1">
        <v>23.54</v>
      </c>
      <c r="AF121" s="1">
        <v>0</v>
      </c>
      <c r="AG121" s="1">
        <v>0</v>
      </c>
      <c r="AH121" s="1">
        <v>0</v>
      </c>
      <c r="AI121" s="1">
        <v>0</v>
      </c>
      <c r="AJ121" s="1">
        <v>202.11</v>
      </c>
      <c r="AL121" s="1">
        <v>3369.71</v>
      </c>
      <c r="AM121" s="1">
        <v>0</v>
      </c>
      <c r="AN121" s="1">
        <v>704</v>
      </c>
      <c r="AO121" s="1">
        <v>0</v>
      </c>
      <c r="AP121" s="1">
        <v>8.93</v>
      </c>
      <c r="AQ121">
        <v>100</v>
      </c>
      <c r="AR121" s="1">
        <v>636.29999999999995</v>
      </c>
      <c r="AS121">
        <v>245</v>
      </c>
      <c r="AT121" s="1">
        <v>1486.63</v>
      </c>
      <c r="AU121">
        <v>9</v>
      </c>
      <c r="AV121" s="1">
        <v>63.51</v>
      </c>
      <c r="AW121">
        <v>12</v>
      </c>
      <c r="AX121" s="1">
        <v>54.88</v>
      </c>
      <c r="AY121">
        <v>121</v>
      </c>
      <c r="AZ121" s="1">
        <v>393.08</v>
      </c>
      <c r="BC121">
        <v>2</v>
      </c>
      <c r="BD121" s="1">
        <v>14.25</v>
      </c>
      <c r="BE121">
        <v>11</v>
      </c>
      <c r="BF121" s="1">
        <v>53.46</v>
      </c>
      <c r="BG121">
        <v>3</v>
      </c>
      <c r="BH121" s="1">
        <v>14.38</v>
      </c>
      <c r="BK121">
        <v>5</v>
      </c>
      <c r="BL121" s="1">
        <v>50.61</v>
      </c>
      <c r="BM121">
        <v>1</v>
      </c>
      <c r="BN121" s="1">
        <v>7.28</v>
      </c>
      <c r="BO121" s="1">
        <v>6.87</v>
      </c>
      <c r="BP121">
        <v>4</v>
      </c>
      <c r="BQ121" s="1">
        <v>53.13</v>
      </c>
      <c r="BR121" s="1">
        <v>59.31</v>
      </c>
      <c r="BZ121">
        <v>1</v>
      </c>
      <c r="CA121">
        <v>4</v>
      </c>
      <c r="CB121" s="1">
        <v>69.239999999999995</v>
      </c>
      <c r="CG121">
        <v>120</v>
      </c>
      <c r="CH121">
        <v>120</v>
      </c>
    </row>
    <row r="122" spans="1:86" x14ac:dyDescent="0.35">
      <c r="A122">
        <v>353927</v>
      </c>
      <c r="B122" s="2">
        <v>44207</v>
      </c>
      <c r="C122" s="2">
        <v>44207</v>
      </c>
      <c r="D122">
        <v>179</v>
      </c>
      <c r="E122" s="1">
        <v>598.61</v>
      </c>
      <c r="F122" s="1">
        <v>1712.95</v>
      </c>
      <c r="G122" s="1">
        <v>533.16</v>
      </c>
      <c r="H122" s="1">
        <v>772.92</v>
      </c>
      <c r="I122" s="1">
        <v>107.42</v>
      </c>
      <c r="J122" s="1">
        <v>3343.6</v>
      </c>
      <c r="K122" s="1">
        <v>0</v>
      </c>
      <c r="L122">
        <v>577</v>
      </c>
      <c r="M122" s="1">
        <v>0</v>
      </c>
      <c r="N122" s="1">
        <v>3466.85</v>
      </c>
      <c r="O122">
        <v>1</v>
      </c>
      <c r="P122" s="1">
        <v>9.49</v>
      </c>
      <c r="Q122">
        <v>7</v>
      </c>
      <c r="R122" s="1">
        <v>11.47</v>
      </c>
      <c r="S122">
        <v>44</v>
      </c>
      <c r="T122" s="1">
        <v>64.17</v>
      </c>
      <c r="U122" s="1">
        <v>38.119999999999997</v>
      </c>
      <c r="V122">
        <v>0</v>
      </c>
      <c r="W122" s="1">
        <v>0</v>
      </c>
      <c r="X122">
        <v>16</v>
      </c>
      <c r="Y122" s="1">
        <v>0</v>
      </c>
      <c r="Z122">
        <v>92</v>
      </c>
      <c r="AA122" s="1">
        <v>246.6</v>
      </c>
      <c r="AB122">
        <v>9</v>
      </c>
      <c r="AC122" s="1">
        <v>31.1</v>
      </c>
      <c r="AD122">
        <v>3</v>
      </c>
      <c r="AE122" s="1">
        <v>2.3199999999999998</v>
      </c>
      <c r="AF122" s="1">
        <v>0</v>
      </c>
      <c r="AG122" s="1">
        <v>0</v>
      </c>
      <c r="AH122" s="1">
        <v>0</v>
      </c>
      <c r="AI122" s="1">
        <v>0</v>
      </c>
      <c r="AJ122" s="1">
        <v>200.49</v>
      </c>
      <c r="AL122" s="1">
        <v>3343.6</v>
      </c>
      <c r="AM122" s="1">
        <v>0</v>
      </c>
      <c r="AN122" s="1">
        <v>905</v>
      </c>
      <c r="AO122" s="1">
        <v>0</v>
      </c>
      <c r="AP122" s="1">
        <v>146.99</v>
      </c>
      <c r="AQ122">
        <v>59</v>
      </c>
      <c r="AR122" s="1">
        <v>380.61</v>
      </c>
      <c r="AS122">
        <v>260</v>
      </c>
      <c r="AT122" s="1">
        <v>1587.11</v>
      </c>
      <c r="AU122">
        <v>13</v>
      </c>
      <c r="AV122" s="1">
        <v>97.94</v>
      </c>
      <c r="AW122">
        <v>4</v>
      </c>
      <c r="AX122" s="1">
        <v>41.01</v>
      </c>
      <c r="AY122">
        <v>86</v>
      </c>
      <c r="AZ122" s="1">
        <v>305.85000000000002</v>
      </c>
      <c r="BE122">
        <v>12</v>
      </c>
      <c r="BF122" s="1">
        <v>67.89</v>
      </c>
      <c r="BG122">
        <v>4</v>
      </c>
      <c r="BH122" s="1">
        <v>55.25</v>
      </c>
      <c r="BK122">
        <v>4</v>
      </c>
      <c r="BL122" s="1">
        <v>37.619999999999997</v>
      </c>
      <c r="BP122">
        <v>8</v>
      </c>
      <c r="BQ122" s="1">
        <v>151.05000000000001</v>
      </c>
      <c r="BR122" s="1">
        <v>133.63999999999999</v>
      </c>
      <c r="BZ122">
        <v>1</v>
      </c>
      <c r="CA122">
        <v>5</v>
      </c>
      <c r="CB122" s="1">
        <v>61.75</v>
      </c>
      <c r="CG122">
        <v>121</v>
      </c>
      <c r="CH122">
        <v>121</v>
      </c>
    </row>
    <row r="123" spans="1:86" x14ac:dyDescent="0.35">
      <c r="A123">
        <v>354030</v>
      </c>
      <c r="B123" s="2">
        <v>44207</v>
      </c>
      <c r="C123" s="2">
        <v>44207</v>
      </c>
      <c r="D123">
        <v>126</v>
      </c>
      <c r="E123" s="1">
        <v>420.02</v>
      </c>
      <c r="F123" s="1">
        <v>1315.8</v>
      </c>
      <c r="G123" s="1">
        <v>516.74</v>
      </c>
      <c r="H123" s="1">
        <v>502.24</v>
      </c>
      <c r="I123" s="1">
        <v>77.27</v>
      </c>
      <c r="J123" s="1">
        <v>2556.6999999999998</v>
      </c>
      <c r="K123" s="1">
        <v>181.98</v>
      </c>
      <c r="L123">
        <v>458</v>
      </c>
      <c r="M123" s="1">
        <v>184.79</v>
      </c>
      <c r="N123" s="1">
        <v>2674.68</v>
      </c>
      <c r="O123">
        <v>0</v>
      </c>
      <c r="P123" s="1">
        <v>0</v>
      </c>
      <c r="Q123">
        <v>3</v>
      </c>
      <c r="R123" s="1">
        <v>0.86</v>
      </c>
      <c r="S123">
        <v>35</v>
      </c>
      <c r="T123" s="1">
        <v>81.2</v>
      </c>
      <c r="U123" s="1">
        <v>38.729999999999997</v>
      </c>
      <c r="V123">
        <v>2</v>
      </c>
      <c r="W123" s="1">
        <v>30</v>
      </c>
      <c r="X123">
        <v>9</v>
      </c>
      <c r="Y123" s="1">
        <v>0</v>
      </c>
      <c r="Z123">
        <v>79</v>
      </c>
      <c r="AA123" s="1">
        <v>245.44</v>
      </c>
      <c r="AB123">
        <v>21</v>
      </c>
      <c r="AC123" s="1">
        <v>52.87</v>
      </c>
      <c r="AD123">
        <v>3</v>
      </c>
      <c r="AE123" s="1">
        <v>4.9400000000000004</v>
      </c>
      <c r="AF123" s="1">
        <v>0</v>
      </c>
      <c r="AG123" s="1">
        <v>0</v>
      </c>
      <c r="AH123" s="1">
        <v>0</v>
      </c>
      <c r="AI123" s="1">
        <v>0</v>
      </c>
      <c r="AJ123" s="1">
        <v>164.21</v>
      </c>
      <c r="AL123" s="1">
        <v>2738.68</v>
      </c>
      <c r="AM123" s="1">
        <v>0</v>
      </c>
      <c r="AN123" s="1">
        <v>591</v>
      </c>
      <c r="AO123" s="1">
        <v>1.47</v>
      </c>
      <c r="AP123" s="1">
        <v>3.07</v>
      </c>
      <c r="AQ123">
        <v>66</v>
      </c>
      <c r="AR123" s="1">
        <v>467.76</v>
      </c>
      <c r="AS123">
        <v>172</v>
      </c>
      <c r="AT123" s="1">
        <v>1134.46</v>
      </c>
      <c r="AU123">
        <v>15</v>
      </c>
      <c r="AV123" s="1">
        <v>81.31</v>
      </c>
      <c r="AW123">
        <v>3</v>
      </c>
      <c r="AX123" s="1">
        <v>30.91</v>
      </c>
      <c r="AY123">
        <v>103</v>
      </c>
      <c r="AZ123" s="1">
        <v>451.02</v>
      </c>
      <c r="BC123">
        <v>1</v>
      </c>
      <c r="BD123" s="1">
        <v>7.18</v>
      </c>
      <c r="BE123">
        <v>17</v>
      </c>
      <c r="BF123" s="1">
        <v>77.17</v>
      </c>
      <c r="BG123">
        <v>2</v>
      </c>
      <c r="BH123" s="1">
        <v>8.75</v>
      </c>
      <c r="BK123">
        <v>6</v>
      </c>
      <c r="BL123" s="1">
        <v>55.25</v>
      </c>
      <c r="BM123">
        <v>1</v>
      </c>
      <c r="BN123" s="1">
        <v>9.7100000000000009</v>
      </c>
      <c r="BO123" s="1">
        <v>9.16</v>
      </c>
      <c r="BZ123">
        <v>1</v>
      </c>
      <c r="CA123">
        <v>2</v>
      </c>
      <c r="CB123" s="1">
        <v>19.97</v>
      </c>
      <c r="CG123">
        <v>122</v>
      </c>
      <c r="CH123">
        <v>122</v>
      </c>
    </row>
    <row r="124" spans="1:86" x14ac:dyDescent="0.35">
      <c r="A124">
        <v>355439</v>
      </c>
      <c r="B124" s="2">
        <v>44207</v>
      </c>
      <c r="C124" s="2">
        <v>44207</v>
      </c>
      <c r="D124">
        <v>187</v>
      </c>
      <c r="E124" s="1">
        <v>614.36</v>
      </c>
      <c r="F124" s="1">
        <v>1917.96</v>
      </c>
      <c r="G124" s="1">
        <v>578.36</v>
      </c>
      <c r="H124" s="1">
        <v>868.01</v>
      </c>
      <c r="I124" s="1">
        <v>156.56</v>
      </c>
      <c r="J124" s="1">
        <v>3723.51</v>
      </c>
      <c r="K124" s="1">
        <v>0</v>
      </c>
      <c r="L124">
        <v>697</v>
      </c>
      <c r="M124" s="1">
        <v>0</v>
      </c>
      <c r="N124" s="1">
        <v>3878.62</v>
      </c>
      <c r="O124">
        <v>1</v>
      </c>
      <c r="P124" s="1">
        <v>2.29</v>
      </c>
      <c r="Q124">
        <v>7</v>
      </c>
      <c r="R124" s="1">
        <v>1.44</v>
      </c>
      <c r="S124">
        <v>44</v>
      </c>
      <c r="T124" s="1">
        <v>85.86</v>
      </c>
      <c r="U124" s="1">
        <v>65.52</v>
      </c>
      <c r="V124">
        <v>0</v>
      </c>
      <c r="W124" s="1">
        <v>0</v>
      </c>
      <c r="X124">
        <v>16</v>
      </c>
      <c r="Y124" s="1">
        <v>0</v>
      </c>
      <c r="Z124">
        <v>86</v>
      </c>
      <c r="AA124" s="1">
        <v>197.64</v>
      </c>
      <c r="AB124">
        <v>11</v>
      </c>
      <c r="AC124" s="1">
        <v>21.12</v>
      </c>
      <c r="AD124">
        <v>3</v>
      </c>
      <c r="AE124" s="1">
        <v>5.92</v>
      </c>
      <c r="AF124" s="1">
        <v>0</v>
      </c>
      <c r="AG124" s="1">
        <v>0</v>
      </c>
      <c r="AH124" s="1">
        <v>0</v>
      </c>
      <c r="AI124" s="1">
        <v>0</v>
      </c>
      <c r="AJ124" s="1">
        <v>298.13</v>
      </c>
      <c r="AL124" s="1">
        <v>3723.51</v>
      </c>
      <c r="AM124" s="1">
        <v>0</v>
      </c>
      <c r="AN124" s="1">
        <v>731</v>
      </c>
      <c r="AO124" s="1">
        <v>0</v>
      </c>
      <c r="AP124" s="1">
        <v>31.08</v>
      </c>
      <c r="AQ124">
        <v>95</v>
      </c>
      <c r="AR124" s="1">
        <v>625.99</v>
      </c>
      <c r="AS124">
        <v>298</v>
      </c>
      <c r="AT124" s="1">
        <v>1841.11</v>
      </c>
      <c r="AU124">
        <v>21</v>
      </c>
      <c r="AV124" s="1">
        <v>131.19</v>
      </c>
      <c r="AW124">
        <v>15</v>
      </c>
      <c r="AX124" s="1">
        <v>91.05</v>
      </c>
      <c r="AY124">
        <v>97</v>
      </c>
      <c r="AZ124" s="1">
        <v>342.75</v>
      </c>
      <c r="BA124">
        <v>2</v>
      </c>
      <c r="BB124" s="1">
        <v>7.05</v>
      </c>
      <c r="BC124">
        <v>3</v>
      </c>
      <c r="BD124" s="1">
        <v>29.69</v>
      </c>
      <c r="BE124">
        <v>13</v>
      </c>
      <c r="BF124" s="1">
        <v>73.22</v>
      </c>
      <c r="BG124">
        <v>5</v>
      </c>
      <c r="BH124" s="1">
        <v>30.25</v>
      </c>
      <c r="BK124">
        <v>8</v>
      </c>
      <c r="BL124" s="1">
        <v>33.380000000000003</v>
      </c>
      <c r="BP124">
        <v>1</v>
      </c>
      <c r="BQ124" s="1">
        <v>17.28</v>
      </c>
      <c r="BR124" s="1">
        <v>16</v>
      </c>
      <c r="BZ124">
        <v>1</v>
      </c>
      <c r="CA124">
        <v>9</v>
      </c>
      <c r="CB124" s="1">
        <v>98.76</v>
      </c>
      <c r="CG124">
        <v>123</v>
      </c>
      <c r="CH124">
        <v>123</v>
      </c>
    </row>
    <row r="125" spans="1:86" x14ac:dyDescent="0.35">
      <c r="A125">
        <v>357150</v>
      </c>
      <c r="B125" s="2">
        <v>44207</v>
      </c>
      <c r="C125" s="2">
        <v>44207</v>
      </c>
      <c r="D125">
        <v>138</v>
      </c>
      <c r="E125">
        <v>493.82</v>
      </c>
      <c r="F125">
        <v>1568.55</v>
      </c>
      <c r="G125">
        <v>313.92</v>
      </c>
      <c r="H125">
        <v>441.72</v>
      </c>
      <c r="I125">
        <v>79.589999999999989</v>
      </c>
      <c r="J125">
        <v>2521.6900000000005</v>
      </c>
      <c r="K125">
        <v>123.34999999999998</v>
      </c>
      <c r="L125">
        <v>463</v>
      </c>
      <c r="M125">
        <v>124.18999999999998</v>
      </c>
      <c r="N125">
        <v>2632.5000000000005</v>
      </c>
      <c r="O125">
        <v>10</v>
      </c>
      <c r="P125">
        <v>8.0299999999999994</v>
      </c>
      <c r="R125">
        <v>111.64999999999999</v>
      </c>
      <c r="V125">
        <v>9</v>
      </c>
      <c r="W125">
        <v>55</v>
      </c>
      <c r="X125">
        <v>0</v>
      </c>
      <c r="Y125">
        <v>0</v>
      </c>
      <c r="Z125">
        <v>68</v>
      </c>
      <c r="AA125">
        <v>126.7</v>
      </c>
      <c r="AB125">
        <v>8</v>
      </c>
      <c r="AC125">
        <v>78.02</v>
      </c>
      <c r="AD125">
        <v>44</v>
      </c>
      <c r="AE125">
        <v>67.8</v>
      </c>
      <c r="AH125">
        <v>0</v>
      </c>
      <c r="AJ125">
        <v>211.8</v>
      </c>
      <c r="AN125">
        <v>0</v>
      </c>
      <c r="AO125">
        <v>0</v>
      </c>
      <c r="AP125">
        <v>-907.92</v>
      </c>
      <c r="AQ125">
        <v>75</v>
      </c>
      <c r="AR125">
        <v>493.84</v>
      </c>
      <c r="AS125">
        <v>166</v>
      </c>
      <c r="AT125">
        <v>1145.99</v>
      </c>
      <c r="AU125">
        <v>11</v>
      </c>
      <c r="AV125">
        <v>82.88</v>
      </c>
      <c r="AW125">
        <v>1</v>
      </c>
      <c r="AX125">
        <v>3.11</v>
      </c>
      <c r="AY125">
        <v>66</v>
      </c>
      <c r="AZ125">
        <v>285.52999999999997</v>
      </c>
      <c r="BS125">
        <v>2651.92</v>
      </c>
      <c r="BV125">
        <v>0</v>
      </c>
      <c r="BW125">
        <v>7.43</v>
      </c>
      <c r="BZ125">
        <v>1</v>
      </c>
      <c r="CG125">
        <v>124</v>
      </c>
      <c r="CH125">
        <v>124</v>
      </c>
    </row>
    <row r="126" spans="1:86" x14ac:dyDescent="0.35">
      <c r="A126">
        <v>352613</v>
      </c>
      <c r="B126" s="2">
        <v>44207</v>
      </c>
      <c r="C126" s="2">
        <v>44207</v>
      </c>
      <c r="D126">
        <v>121</v>
      </c>
      <c r="E126">
        <v>407.69</v>
      </c>
      <c r="F126">
        <v>1755.8100000000002</v>
      </c>
      <c r="G126">
        <v>500.85</v>
      </c>
      <c r="H126">
        <v>642.25</v>
      </c>
      <c r="I126">
        <v>174.25</v>
      </c>
      <c r="J126">
        <v>3101.4599999999996</v>
      </c>
      <c r="K126">
        <v>178.84</v>
      </c>
      <c r="L126">
        <v>632</v>
      </c>
      <c r="M126">
        <v>182.82</v>
      </c>
      <c r="N126">
        <v>3260.1099999999997</v>
      </c>
      <c r="O126">
        <v>2</v>
      </c>
      <c r="P126">
        <v>1.49</v>
      </c>
      <c r="R126">
        <v>162.62999999999997</v>
      </c>
      <c r="V126">
        <v>3</v>
      </c>
      <c r="W126">
        <v>65</v>
      </c>
      <c r="X126">
        <v>0</v>
      </c>
      <c r="Y126">
        <v>0</v>
      </c>
      <c r="Z126">
        <v>126</v>
      </c>
      <c r="AA126">
        <v>286.45</v>
      </c>
      <c r="AB126">
        <v>16</v>
      </c>
      <c r="AC126">
        <v>73.819999999999993</v>
      </c>
      <c r="AD126">
        <v>78</v>
      </c>
      <c r="AE126">
        <v>106.99</v>
      </c>
      <c r="AH126">
        <v>0</v>
      </c>
      <c r="AJ126">
        <v>262.74</v>
      </c>
      <c r="AN126">
        <v>1393</v>
      </c>
      <c r="AO126">
        <v>0</v>
      </c>
      <c r="AP126">
        <v>372.99</v>
      </c>
      <c r="AQ126">
        <v>68</v>
      </c>
      <c r="AR126">
        <v>440</v>
      </c>
      <c r="AS126">
        <v>254</v>
      </c>
      <c r="AT126">
        <v>1549.92</v>
      </c>
      <c r="AU126">
        <v>20</v>
      </c>
      <c r="AV126">
        <v>107.77</v>
      </c>
      <c r="AW126">
        <v>4</v>
      </c>
      <c r="AX126">
        <v>29.62</v>
      </c>
      <c r="AY126">
        <v>84</v>
      </c>
      <c r="AZ126">
        <v>264.36</v>
      </c>
      <c r="BP126">
        <v>9</v>
      </c>
      <c r="BQ126">
        <v>123.16</v>
      </c>
      <c r="BR126">
        <v>32.630000000000003</v>
      </c>
      <c r="BS126">
        <v>3295.72</v>
      </c>
      <c r="BV126">
        <v>2.5799999999999272</v>
      </c>
      <c r="BW126">
        <v>19.23</v>
      </c>
      <c r="BZ126">
        <v>1</v>
      </c>
      <c r="CA126">
        <v>6</v>
      </c>
      <c r="CB126">
        <v>89.85</v>
      </c>
      <c r="CG126">
        <v>125</v>
      </c>
      <c r="CH126">
        <v>125</v>
      </c>
    </row>
    <row r="127" spans="1:86" x14ac:dyDescent="0.35">
      <c r="A127">
        <v>358682</v>
      </c>
      <c r="B127" s="2">
        <v>44207</v>
      </c>
      <c r="C127" s="2">
        <v>44207</v>
      </c>
      <c r="D127">
        <v>59</v>
      </c>
      <c r="E127">
        <v>177.20999999999998</v>
      </c>
      <c r="F127">
        <v>792.82</v>
      </c>
      <c r="G127">
        <v>165.46</v>
      </c>
      <c r="H127">
        <v>523.29</v>
      </c>
      <c r="I127">
        <v>61.790000000000006</v>
      </c>
      <c r="J127">
        <v>1581.5</v>
      </c>
      <c r="K127">
        <v>39.309999999999995</v>
      </c>
      <c r="L127">
        <v>284</v>
      </c>
      <c r="M127">
        <v>42.8</v>
      </c>
      <c r="N127">
        <v>1653.62</v>
      </c>
      <c r="O127">
        <v>0</v>
      </c>
      <c r="P127">
        <v>0</v>
      </c>
      <c r="R127">
        <v>75.61</v>
      </c>
      <c r="V127">
        <v>0</v>
      </c>
      <c r="W127">
        <v>0</v>
      </c>
      <c r="X127">
        <v>0</v>
      </c>
      <c r="Y127">
        <v>0</v>
      </c>
      <c r="Z127">
        <v>29</v>
      </c>
      <c r="AA127">
        <v>103.03</v>
      </c>
      <c r="AB127">
        <v>7</v>
      </c>
      <c r="AC127">
        <v>40.36</v>
      </c>
      <c r="AD127">
        <v>6</v>
      </c>
      <c r="AE127">
        <v>5.18</v>
      </c>
      <c r="AH127">
        <v>0</v>
      </c>
      <c r="AJ127">
        <v>144.18</v>
      </c>
      <c r="AN127">
        <v>352.17</v>
      </c>
      <c r="AO127">
        <v>0</v>
      </c>
      <c r="AP127">
        <v>1.3500000000000227</v>
      </c>
      <c r="AQ127">
        <v>38</v>
      </c>
      <c r="AR127">
        <v>225.48</v>
      </c>
      <c r="AS127">
        <v>111</v>
      </c>
      <c r="AT127">
        <v>727.08</v>
      </c>
      <c r="AU127">
        <v>22</v>
      </c>
      <c r="AV127">
        <v>140.32</v>
      </c>
      <c r="AW127">
        <v>6</v>
      </c>
      <c r="AX127">
        <v>30.58</v>
      </c>
      <c r="AY127">
        <v>42</v>
      </c>
      <c r="AZ127">
        <v>166.28</v>
      </c>
      <c r="BP127">
        <v>2</v>
      </c>
      <c r="BQ127">
        <v>21.39</v>
      </c>
      <c r="BR127">
        <v>19.64</v>
      </c>
      <c r="BS127">
        <v>1620.81</v>
      </c>
      <c r="BV127">
        <v>0</v>
      </c>
      <c r="BW127">
        <v>0</v>
      </c>
      <c r="BZ127">
        <v>1</v>
      </c>
      <c r="CA127">
        <v>5</v>
      </c>
      <c r="CB127">
        <v>103.04</v>
      </c>
      <c r="CG127">
        <v>126</v>
      </c>
      <c r="CH127">
        <v>126</v>
      </c>
    </row>
    <row r="128" spans="1:86" x14ac:dyDescent="0.35">
      <c r="A128">
        <v>359606</v>
      </c>
      <c r="B128" s="2">
        <v>44207</v>
      </c>
      <c r="C128" s="2">
        <v>44207</v>
      </c>
      <c r="D128">
        <v>28</v>
      </c>
      <c r="E128">
        <v>96.32</v>
      </c>
      <c r="F128">
        <v>385.42999999999995</v>
      </c>
      <c r="G128">
        <v>115.26</v>
      </c>
      <c r="H128">
        <v>265.45</v>
      </c>
      <c r="I128">
        <v>34.830000000000005</v>
      </c>
      <c r="J128">
        <v>812.2</v>
      </c>
      <c r="K128">
        <v>16.670000000000002</v>
      </c>
      <c r="L128">
        <v>164</v>
      </c>
      <c r="M128">
        <v>16.670000000000002</v>
      </c>
      <c r="N128">
        <v>863.56000000000006</v>
      </c>
      <c r="O128">
        <v>0</v>
      </c>
      <c r="P128">
        <v>0</v>
      </c>
      <c r="R128">
        <v>51.36</v>
      </c>
      <c r="V128">
        <v>0</v>
      </c>
      <c r="W128">
        <v>0</v>
      </c>
      <c r="X128">
        <v>0</v>
      </c>
      <c r="Y128">
        <v>0</v>
      </c>
      <c r="Z128">
        <v>8</v>
      </c>
      <c r="AA128">
        <v>20.62</v>
      </c>
      <c r="AB128">
        <v>5</v>
      </c>
      <c r="AC128">
        <v>14.09</v>
      </c>
      <c r="AD128">
        <v>0</v>
      </c>
      <c r="AE128">
        <v>0</v>
      </c>
      <c r="AH128">
        <v>0</v>
      </c>
      <c r="AJ128">
        <v>73.66</v>
      </c>
      <c r="AN128">
        <v>165</v>
      </c>
      <c r="AO128">
        <v>0</v>
      </c>
      <c r="AP128">
        <v>-9.9999999999909051E-3</v>
      </c>
      <c r="AQ128">
        <v>14</v>
      </c>
      <c r="AR128">
        <v>96.41</v>
      </c>
      <c r="AS128">
        <v>79</v>
      </c>
      <c r="AT128">
        <v>419.36</v>
      </c>
      <c r="AU128">
        <v>6</v>
      </c>
      <c r="AV128">
        <v>14.59</v>
      </c>
      <c r="AW128">
        <v>4</v>
      </c>
      <c r="AX128">
        <v>30.53</v>
      </c>
      <c r="AY128">
        <v>34</v>
      </c>
      <c r="AZ128">
        <v>129.30000000000001</v>
      </c>
      <c r="BS128">
        <v>828.87</v>
      </c>
      <c r="BV128">
        <v>9.5199999999999818</v>
      </c>
      <c r="BW128">
        <v>9.52</v>
      </c>
      <c r="BZ128">
        <v>1</v>
      </c>
      <c r="CA128">
        <v>3</v>
      </c>
      <c r="CB128">
        <v>47.33</v>
      </c>
      <c r="CG128">
        <v>127</v>
      </c>
      <c r="CH128">
        <v>127</v>
      </c>
    </row>
    <row r="129" spans="1:86" x14ac:dyDescent="0.35">
      <c r="A129">
        <v>352613</v>
      </c>
      <c r="B129" s="2">
        <v>44206</v>
      </c>
      <c r="C129" s="2">
        <v>44206</v>
      </c>
      <c r="D129">
        <v>108</v>
      </c>
      <c r="E129">
        <v>396.72</v>
      </c>
      <c r="F129">
        <v>1714.1100000000001</v>
      </c>
      <c r="G129">
        <v>556.63</v>
      </c>
      <c r="H129">
        <v>829.07</v>
      </c>
      <c r="I129">
        <v>156.87</v>
      </c>
      <c r="J129">
        <v>3383.91</v>
      </c>
      <c r="K129">
        <v>386.69</v>
      </c>
      <c r="L129">
        <v>588</v>
      </c>
      <c r="M129">
        <v>394.65</v>
      </c>
      <c r="N129">
        <v>3532.6899999999996</v>
      </c>
      <c r="O129">
        <v>4</v>
      </c>
      <c r="P129">
        <v>10.86</v>
      </c>
      <c r="R129">
        <v>156.73999999999998</v>
      </c>
      <c r="V129">
        <v>2</v>
      </c>
      <c r="W129">
        <v>35</v>
      </c>
      <c r="X129">
        <v>0</v>
      </c>
      <c r="Y129">
        <v>0</v>
      </c>
      <c r="Z129">
        <v>148</v>
      </c>
      <c r="AA129">
        <v>232.58</v>
      </c>
      <c r="AB129">
        <v>18</v>
      </c>
      <c r="AC129">
        <v>220.56</v>
      </c>
      <c r="AD129">
        <v>52</v>
      </c>
      <c r="AE129">
        <v>121.66</v>
      </c>
      <c r="AH129">
        <v>0</v>
      </c>
      <c r="AJ129">
        <v>301.8</v>
      </c>
      <c r="AN129">
        <v>1138</v>
      </c>
      <c r="AO129">
        <v>9.98</v>
      </c>
      <c r="AP129">
        <v>-2.5999999999999091</v>
      </c>
      <c r="AQ129">
        <v>64</v>
      </c>
      <c r="AR129">
        <v>494.59</v>
      </c>
      <c r="AS129">
        <v>242</v>
      </c>
      <c r="AT129">
        <v>1648.22</v>
      </c>
      <c r="AU129">
        <v>8</v>
      </c>
      <c r="AV129">
        <v>62.74</v>
      </c>
      <c r="AW129">
        <v>9</v>
      </c>
      <c r="AX129">
        <v>69.95</v>
      </c>
      <c r="AY129">
        <v>85</v>
      </c>
      <c r="AZ129">
        <v>368.41</v>
      </c>
      <c r="BP129">
        <v>7</v>
      </c>
      <c r="BQ129">
        <v>103.07</v>
      </c>
      <c r="BR129">
        <v>95.44</v>
      </c>
      <c r="BS129">
        <v>3760.37</v>
      </c>
      <c r="BV129">
        <v>7.2699999999995271</v>
      </c>
      <c r="BW129">
        <v>-3.77</v>
      </c>
      <c r="BZ129">
        <v>1</v>
      </c>
      <c r="CA129">
        <v>9</v>
      </c>
      <c r="CB129">
        <v>121.06</v>
      </c>
      <c r="CE129">
        <v>2</v>
      </c>
      <c r="CF129">
        <v>77.739999999999995</v>
      </c>
      <c r="CG129">
        <v>128</v>
      </c>
      <c r="CH129">
        <v>128</v>
      </c>
    </row>
    <row r="130" spans="1:86" x14ac:dyDescent="0.35">
      <c r="A130">
        <v>358682</v>
      </c>
      <c r="B130" s="2">
        <v>44206</v>
      </c>
      <c r="C130" s="2">
        <v>44206</v>
      </c>
      <c r="D130">
        <v>51</v>
      </c>
      <c r="E130">
        <v>176.29</v>
      </c>
      <c r="F130">
        <v>698.03000000000009</v>
      </c>
      <c r="G130">
        <v>125.83</v>
      </c>
      <c r="H130">
        <v>501.9</v>
      </c>
      <c r="I130">
        <v>63.820000000000007</v>
      </c>
      <c r="J130">
        <v>1419.91</v>
      </c>
      <c r="K130">
        <v>97.829999999999984</v>
      </c>
      <c r="L130">
        <v>236</v>
      </c>
      <c r="M130">
        <v>97.829999999999984</v>
      </c>
      <c r="N130">
        <v>1495.76</v>
      </c>
      <c r="O130">
        <v>0</v>
      </c>
      <c r="P130">
        <v>0</v>
      </c>
      <c r="R130">
        <v>75.849999999999994</v>
      </c>
      <c r="V130">
        <v>0</v>
      </c>
      <c r="W130">
        <v>0</v>
      </c>
      <c r="X130">
        <v>0</v>
      </c>
      <c r="Y130">
        <v>0</v>
      </c>
      <c r="Z130">
        <v>20</v>
      </c>
      <c r="AA130">
        <v>158.22</v>
      </c>
      <c r="AB130">
        <v>10</v>
      </c>
      <c r="AC130">
        <v>78.2</v>
      </c>
      <c r="AD130">
        <v>28</v>
      </c>
      <c r="AE130">
        <v>39.65</v>
      </c>
      <c r="AH130">
        <v>0</v>
      </c>
      <c r="AJ130">
        <v>135.05000000000001</v>
      </c>
      <c r="AN130">
        <v>626.16999999999996</v>
      </c>
      <c r="AO130">
        <v>0</v>
      </c>
      <c r="AP130">
        <v>358.05999999999995</v>
      </c>
      <c r="AQ130">
        <v>24</v>
      </c>
      <c r="AR130">
        <v>183.65</v>
      </c>
      <c r="AS130">
        <v>101</v>
      </c>
      <c r="AT130">
        <v>693.26</v>
      </c>
      <c r="AU130">
        <v>21</v>
      </c>
      <c r="AV130">
        <v>181.07</v>
      </c>
      <c r="AW130">
        <v>5</v>
      </c>
      <c r="AX130">
        <v>20.71</v>
      </c>
      <c r="AY130">
        <v>36</v>
      </c>
      <c r="AZ130">
        <v>193.31</v>
      </c>
      <c r="BM130">
        <v>2</v>
      </c>
      <c r="BN130">
        <v>12.81</v>
      </c>
      <c r="BP130">
        <v>9</v>
      </c>
      <c r="BQ130">
        <v>89.95</v>
      </c>
      <c r="BR130">
        <v>65.760000000000005</v>
      </c>
      <c r="BS130">
        <v>1521.31</v>
      </c>
      <c r="BV130">
        <v>-7.7800000000002001</v>
      </c>
      <c r="BW130">
        <v>-3.89</v>
      </c>
      <c r="BZ130">
        <v>1</v>
      </c>
      <c r="CA130">
        <v>1</v>
      </c>
      <c r="CB130">
        <v>13.81</v>
      </c>
      <c r="CG130">
        <v>129</v>
      </c>
      <c r="CH130">
        <v>129</v>
      </c>
    </row>
    <row r="131" spans="1:86" x14ac:dyDescent="0.35">
      <c r="A131">
        <v>359606</v>
      </c>
      <c r="B131" s="2">
        <v>44206</v>
      </c>
      <c r="C131" s="2">
        <v>44206</v>
      </c>
      <c r="D131">
        <v>34</v>
      </c>
      <c r="E131">
        <v>117.06</v>
      </c>
      <c r="F131">
        <v>509.59</v>
      </c>
      <c r="G131">
        <v>223.41</v>
      </c>
      <c r="H131">
        <v>336.64</v>
      </c>
      <c r="I131">
        <v>49.489999999999995</v>
      </c>
      <c r="J131">
        <v>1156.0100000000002</v>
      </c>
      <c r="K131">
        <v>26.23</v>
      </c>
      <c r="L131">
        <v>206</v>
      </c>
      <c r="M131">
        <v>26.23</v>
      </c>
      <c r="N131">
        <v>1236.2400000000002</v>
      </c>
      <c r="O131">
        <v>0</v>
      </c>
      <c r="P131">
        <v>0</v>
      </c>
      <c r="R131">
        <v>80.23</v>
      </c>
      <c r="V131">
        <v>0</v>
      </c>
      <c r="W131">
        <v>0</v>
      </c>
      <c r="X131">
        <v>0</v>
      </c>
      <c r="Y131">
        <v>0</v>
      </c>
      <c r="Z131">
        <v>16</v>
      </c>
      <c r="AA131">
        <v>46.94</v>
      </c>
      <c r="AB131">
        <v>1</v>
      </c>
      <c r="AC131">
        <v>4.33</v>
      </c>
      <c r="AD131">
        <v>0</v>
      </c>
      <c r="AE131">
        <v>0</v>
      </c>
      <c r="AH131">
        <v>0</v>
      </c>
      <c r="AJ131">
        <v>105.16</v>
      </c>
      <c r="AN131">
        <v>276</v>
      </c>
      <c r="AO131">
        <v>0</v>
      </c>
      <c r="AP131">
        <v>165.64</v>
      </c>
      <c r="AQ131">
        <v>21</v>
      </c>
      <c r="AR131">
        <v>132.19</v>
      </c>
      <c r="AS131">
        <v>95</v>
      </c>
      <c r="AT131">
        <v>588.47</v>
      </c>
      <c r="AU131">
        <v>15</v>
      </c>
      <c r="AV131">
        <v>147.81</v>
      </c>
      <c r="AW131">
        <v>5</v>
      </c>
      <c r="AX131">
        <v>42.96</v>
      </c>
      <c r="AY131">
        <v>42</v>
      </c>
      <c r="AZ131">
        <v>186.32</v>
      </c>
      <c r="BP131">
        <v>7</v>
      </c>
      <c r="BQ131">
        <v>91.29</v>
      </c>
      <c r="BR131">
        <v>83.84</v>
      </c>
      <c r="BS131">
        <v>1182.24</v>
      </c>
      <c r="BV131">
        <v>9.5199999999999818</v>
      </c>
      <c r="BW131">
        <v>9.52</v>
      </c>
      <c r="BX131" t="s">
        <v>100</v>
      </c>
      <c r="BY131">
        <v>12</v>
      </c>
      <c r="BZ131">
        <v>1</v>
      </c>
      <c r="CG131">
        <v>130</v>
      </c>
      <c r="CH131">
        <v>130</v>
      </c>
    </row>
    <row r="132" spans="1:86" x14ac:dyDescent="0.35">
      <c r="A132">
        <v>357150</v>
      </c>
      <c r="B132" s="2">
        <v>44199</v>
      </c>
      <c r="C132" s="2">
        <v>44205</v>
      </c>
      <c r="D132">
        <v>1063</v>
      </c>
      <c r="E132">
        <v>3981.5699999999997</v>
      </c>
      <c r="F132">
        <v>11535.089999999998</v>
      </c>
      <c r="G132">
        <v>3086.4</v>
      </c>
      <c r="H132">
        <v>3242.98</v>
      </c>
      <c r="I132">
        <v>625.76</v>
      </c>
      <c r="J132">
        <v>19432.16</v>
      </c>
      <c r="K132">
        <v>1468.87</v>
      </c>
      <c r="L132">
        <v>3365</v>
      </c>
      <c r="M132">
        <v>1487.78</v>
      </c>
      <c r="N132">
        <v>20246.46</v>
      </c>
      <c r="O132">
        <v>6</v>
      </c>
      <c r="P132">
        <v>12.15</v>
      </c>
      <c r="R132">
        <v>833.21</v>
      </c>
      <c r="V132">
        <v>10</v>
      </c>
      <c r="W132">
        <v>184.23</v>
      </c>
      <c r="X132">
        <v>0</v>
      </c>
      <c r="Y132">
        <v>0</v>
      </c>
      <c r="Z132">
        <v>398</v>
      </c>
      <c r="AA132">
        <v>1164.49</v>
      </c>
      <c r="AB132">
        <v>39</v>
      </c>
      <c r="AC132">
        <v>270.94</v>
      </c>
      <c r="AD132">
        <v>216</v>
      </c>
      <c r="AE132">
        <v>332.02</v>
      </c>
      <c r="AH132">
        <v>0</v>
      </c>
      <c r="AJ132">
        <v>1673.1</v>
      </c>
      <c r="AN132">
        <v>1163</v>
      </c>
      <c r="AO132">
        <v>0</v>
      </c>
      <c r="AP132">
        <v>-5158.2</v>
      </c>
      <c r="AQ132">
        <v>522</v>
      </c>
      <c r="AR132">
        <v>3892.76</v>
      </c>
      <c r="AS132">
        <v>1177</v>
      </c>
      <c r="AT132">
        <v>8580.91</v>
      </c>
      <c r="AU132">
        <v>82</v>
      </c>
      <c r="AV132">
        <v>675.05</v>
      </c>
      <c r="AW132">
        <v>28</v>
      </c>
      <c r="AX132">
        <v>205.59</v>
      </c>
      <c r="AY132">
        <v>567</v>
      </c>
      <c r="AZ132">
        <v>3082.85</v>
      </c>
      <c r="BS132">
        <v>20901.03</v>
      </c>
      <c r="BV132">
        <v>25.369999999998981</v>
      </c>
      <c r="BW132">
        <v>25.37</v>
      </c>
      <c r="CG132">
        <v>131</v>
      </c>
      <c r="CH132">
        <v>131</v>
      </c>
    </row>
    <row r="133" spans="1:86" x14ac:dyDescent="0.35">
      <c r="A133">
        <v>357150</v>
      </c>
      <c r="B133" s="2">
        <v>44208</v>
      </c>
      <c r="C133" s="2">
        <v>44208</v>
      </c>
      <c r="D133">
        <v>148</v>
      </c>
      <c r="E133">
        <v>557.52</v>
      </c>
      <c r="F133">
        <v>1555.3200000000002</v>
      </c>
      <c r="G133">
        <v>366.24</v>
      </c>
      <c r="H133">
        <v>446.35</v>
      </c>
      <c r="I133">
        <v>108.08</v>
      </c>
      <c r="J133">
        <v>2672.87</v>
      </c>
      <c r="K133">
        <v>139.63999999999999</v>
      </c>
      <c r="L133">
        <v>488</v>
      </c>
      <c r="M133">
        <v>149.99999999999997</v>
      </c>
      <c r="N133">
        <v>2749.69</v>
      </c>
      <c r="O133">
        <v>2</v>
      </c>
      <c r="P133">
        <v>3.58</v>
      </c>
      <c r="R133">
        <v>87.18</v>
      </c>
      <c r="V133">
        <v>3</v>
      </c>
      <c r="W133">
        <v>45</v>
      </c>
      <c r="X133">
        <v>0</v>
      </c>
      <c r="Y133">
        <v>0</v>
      </c>
      <c r="Z133">
        <v>41</v>
      </c>
      <c r="AA133">
        <v>104.88</v>
      </c>
      <c r="AB133">
        <v>7</v>
      </c>
      <c r="AC133">
        <v>33.950000000000003</v>
      </c>
      <c r="AD133">
        <v>25</v>
      </c>
      <c r="AE133">
        <v>34.28</v>
      </c>
      <c r="AH133">
        <v>0</v>
      </c>
      <c r="AJ133">
        <v>225.19</v>
      </c>
      <c r="AN133">
        <v>0</v>
      </c>
      <c r="AO133">
        <v>0</v>
      </c>
      <c r="AP133">
        <v>-941.74</v>
      </c>
      <c r="AQ133">
        <v>74</v>
      </c>
      <c r="AR133">
        <v>486.24</v>
      </c>
      <c r="AS133">
        <v>173</v>
      </c>
      <c r="AT133">
        <v>1264.74</v>
      </c>
      <c r="AU133">
        <v>9</v>
      </c>
      <c r="AV133">
        <v>64.569999999999993</v>
      </c>
      <c r="AW133">
        <v>3</v>
      </c>
      <c r="AX133">
        <v>22.17</v>
      </c>
      <c r="AY133">
        <v>67</v>
      </c>
      <c r="AZ133">
        <v>303.24</v>
      </c>
      <c r="BS133">
        <v>2812.51</v>
      </c>
      <c r="BV133">
        <v>0</v>
      </c>
      <c r="BW133">
        <v>0</v>
      </c>
      <c r="BZ133">
        <v>1</v>
      </c>
      <c r="CG133">
        <v>132</v>
      </c>
      <c r="CH133">
        <v>132</v>
      </c>
    </row>
    <row r="134" spans="1:86" x14ac:dyDescent="0.35">
      <c r="A134">
        <v>358682</v>
      </c>
      <c r="B134" s="2">
        <v>44208</v>
      </c>
      <c r="C134" s="2">
        <v>44208</v>
      </c>
      <c r="D134">
        <v>80</v>
      </c>
      <c r="E134">
        <v>269.8</v>
      </c>
      <c r="F134">
        <v>990.34</v>
      </c>
      <c r="G134">
        <v>158.65</v>
      </c>
      <c r="H134">
        <v>579.57000000000005</v>
      </c>
      <c r="I134">
        <v>71.910000000000011</v>
      </c>
      <c r="J134">
        <v>1868.58</v>
      </c>
      <c r="K134">
        <v>55.5</v>
      </c>
      <c r="L134">
        <v>343</v>
      </c>
      <c r="M134">
        <v>58</v>
      </c>
      <c r="N134">
        <v>1952.58</v>
      </c>
      <c r="O134">
        <v>0</v>
      </c>
      <c r="P134">
        <v>0</v>
      </c>
      <c r="R134">
        <v>86.5</v>
      </c>
      <c r="V134">
        <v>0</v>
      </c>
      <c r="W134">
        <v>0</v>
      </c>
      <c r="X134">
        <v>0</v>
      </c>
      <c r="Y134">
        <v>0</v>
      </c>
      <c r="Z134">
        <v>44</v>
      </c>
      <c r="AA134">
        <v>112.88</v>
      </c>
      <c r="AB134">
        <v>3</v>
      </c>
      <c r="AC134">
        <v>25.49</v>
      </c>
      <c r="AD134">
        <v>24</v>
      </c>
      <c r="AE134">
        <v>27.63</v>
      </c>
      <c r="AH134">
        <v>0</v>
      </c>
      <c r="AJ134">
        <v>171.11</v>
      </c>
      <c r="AN134">
        <v>433.64</v>
      </c>
      <c r="AO134">
        <v>0</v>
      </c>
      <c r="AP134">
        <v>4.7599999999999909</v>
      </c>
      <c r="AQ134">
        <v>30</v>
      </c>
      <c r="AR134">
        <v>215.24</v>
      </c>
      <c r="AS134">
        <v>157</v>
      </c>
      <c r="AT134">
        <v>966.89</v>
      </c>
      <c r="AU134">
        <v>20</v>
      </c>
      <c r="AV134">
        <v>110.12</v>
      </c>
      <c r="AW134">
        <v>5</v>
      </c>
      <c r="AX134">
        <v>40.43</v>
      </c>
      <c r="AY134">
        <v>43</v>
      </c>
      <c r="AZ134">
        <v>206.08</v>
      </c>
      <c r="BP134">
        <v>6</v>
      </c>
      <c r="BQ134">
        <v>75.94</v>
      </c>
      <c r="BR134">
        <v>69.73</v>
      </c>
      <c r="BS134">
        <v>1924.08</v>
      </c>
      <c r="BV134">
        <v>0</v>
      </c>
      <c r="BW134">
        <v>0</v>
      </c>
      <c r="BZ134">
        <v>1</v>
      </c>
      <c r="CA134">
        <v>3</v>
      </c>
      <c r="CB134">
        <v>51.61</v>
      </c>
      <c r="CG134">
        <v>133</v>
      </c>
      <c r="CH134">
        <v>133</v>
      </c>
    </row>
    <row r="135" spans="1:86" x14ac:dyDescent="0.35">
      <c r="A135">
        <v>359606</v>
      </c>
      <c r="B135" s="2">
        <v>44208</v>
      </c>
      <c r="C135" s="2">
        <v>44208</v>
      </c>
      <c r="D135">
        <v>38</v>
      </c>
      <c r="E135">
        <v>132.32</v>
      </c>
      <c r="F135">
        <v>512.57000000000005</v>
      </c>
      <c r="G135">
        <v>174.37</v>
      </c>
      <c r="H135">
        <v>267.72000000000003</v>
      </c>
      <c r="I135">
        <v>24.6</v>
      </c>
      <c r="J135">
        <v>1005.4000000000001</v>
      </c>
      <c r="K135">
        <v>33.83</v>
      </c>
      <c r="L135">
        <v>208</v>
      </c>
      <c r="M135">
        <v>33.83</v>
      </c>
      <c r="N135">
        <v>1073.2</v>
      </c>
      <c r="O135">
        <v>1</v>
      </c>
      <c r="P135">
        <v>2.59</v>
      </c>
      <c r="R135">
        <v>67.8</v>
      </c>
      <c r="V135">
        <v>0</v>
      </c>
      <c r="W135">
        <v>0</v>
      </c>
      <c r="X135">
        <v>0</v>
      </c>
      <c r="Y135">
        <v>0</v>
      </c>
      <c r="Z135">
        <v>20</v>
      </c>
      <c r="AA135">
        <v>42.55</v>
      </c>
      <c r="AB135">
        <v>1</v>
      </c>
      <c r="AC135">
        <v>6.27</v>
      </c>
      <c r="AD135">
        <v>0</v>
      </c>
      <c r="AE135">
        <v>0</v>
      </c>
      <c r="AH135">
        <v>0</v>
      </c>
      <c r="AJ135">
        <v>92.44</v>
      </c>
      <c r="AN135">
        <v>253</v>
      </c>
      <c r="AO135">
        <v>0</v>
      </c>
      <c r="AP135">
        <v>71.22999999999999</v>
      </c>
      <c r="AQ135">
        <v>21</v>
      </c>
      <c r="AR135">
        <v>119.99</v>
      </c>
      <c r="AS135">
        <v>91</v>
      </c>
      <c r="AT135">
        <v>536.74</v>
      </c>
      <c r="AU135">
        <v>15</v>
      </c>
      <c r="AV135">
        <v>73.66</v>
      </c>
      <c r="AW135">
        <v>3</v>
      </c>
      <c r="AX135">
        <v>8.02</v>
      </c>
      <c r="AY135">
        <v>31</v>
      </c>
      <c r="AZ135">
        <v>144.77000000000001</v>
      </c>
      <c r="BP135">
        <v>1</v>
      </c>
      <c r="BQ135">
        <v>7.92</v>
      </c>
      <c r="BR135">
        <v>7.27</v>
      </c>
      <c r="BS135">
        <v>1039.23</v>
      </c>
      <c r="BV135">
        <v>9.5199999999999818</v>
      </c>
      <c r="BW135">
        <v>9.52</v>
      </c>
      <c r="BZ135">
        <v>1</v>
      </c>
      <c r="CA135">
        <v>5</v>
      </c>
      <c r="CB135">
        <v>58.8</v>
      </c>
      <c r="CG135">
        <v>134</v>
      </c>
      <c r="CH135">
        <v>134</v>
      </c>
    </row>
    <row r="136" spans="1:86" x14ac:dyDescent="0.35">
      <c r="A136">
        <v>352613</v>
      </c>
      <c r="B136" s="2">
        <v>44208</v>
      </c>
      <c r="C136" s="2">
        <v>44208</v>
      </c>
      <c r="D136">
        <v>94</v>
      </c>
      <c r="E136">
        <v>323.65999999999997</v>
      </c>
      <c r="F136">
        <v>1541.5199999999998</v>
      </c>
      <c r="G136">
        <v>471.1</v>
      </c>
      <c r="H136">
        <v>645.16</v>
      </c>
      <c r="I136">
        <v>160.53</v>
      </c>
      <c r="J136">
        <v>2898.4100000000003</v>
      </c>
      <c r="K136">
        <v>161.85999999999999</v>
      </c>
      <c r="L136">
        <v>566</v>
      </c>
      <c r="M136">
        <v>167.82999999999998</v>
      </c>
      <c r="N136">
        <v>3016.28</v>
      </c>
      <c r="O136">
        <v>10</v>
      </c>
      <c r="P136">
        <v>10.76</v>
      </c>
      <c r="R136">
        <v>123.84</v>
      </c>
      <c r="V136">
        <v>0</v>
      </c>
      <c r="W136">
        <v>0</v>
      </c>
      <c r="X136">
        <v>0</v>
      </c>
      <c r="Y136">
        <v>0</v>
      </c>
      <c r="Z136">
        <v>81</v>
      </c>
      <c r="AA136">
        <v>108.75</v>
      </c>
      <c r="AB136">
        <v>6</v>
      </c>
      <c r="AC136">
        <v>32.69</v>
      </c>
      <c r="AD136">
        <v>100</v>
      </c>
      <c r="AE136">
        <v>130.51</v>
      </c>
      <c r="AH136">
        <v>0</v>
      </c>
      <c r="AJ136">
        <v>245.05</v>
      </c>
      <c r="AN136">
        <v>1699</v>
      </c>
      <c r="AO136">
        <v>0</v>
      </c>
      <c r="AP136">
        <v>767.06</v>
      </c>
      <c r="AQ136">
        <v>68</v>
      </c>
      <c r="AR136">
        <v>425.22</v>
      </c>
      <c r="AS136">
        <v>210</v>
      </c>
      <c r="AT136">
        <v>1347.81</v>
      </c>
      <c r="AU136">
        <v>17</v>
      </c>
      <c r="AV136">
        <v>109.37</v>
      </c>
      <c r="AW136">
        <v>5</v>
      </c>
      <c r="AX136">
        <v>45.31</v>
      </c>
      <c r="AY136">
        <v>69</v>
      </c>
      <c r="AZ136">
        <v>308.11</v>
      </c>
      <c r="BP136">
        <v>5</v>
      </c>
      <c r="BQ136">
        <v>52.54</v>
      </c>
      <c r="BR136">
        <v>40.03</v>
      </c>
      <c r="BS136">
        <v>3055.49</v>
      </c>
      <c r="BV136">
        <v>2.580000000000382</v>
      </c>
      <c r="BW136">
        <v>-2.58</v>
      </c>
      <c r="BZ136">
        <v>1</v>
      </c>
      <c r="CA136">
        <v>5</v>
      </c>
      <c r="CB136">
        <v>79.86</v>
      </c>
      <c r="CG136">
        <v>135</v>
      </c>
      <c r="CH136">
        <v>135</v>
      </c>
    </row>
    <row r="137" spans="1:86" x14ac:dyDescent="0.35">
      <c r="A137">
        <v>350432</v>
      </c>
      <c r="B137" s="2">
        <v>44208</v>
      </c>
      <c r="C137" s="2">
        <v>44208</v>
      </c>
      <c r="D137">
        <v>147</v>
      </c>
      <c r="E137" s="1">
        <v>484.64</v>
      </c>
      <c r="F137" s="1">
        <v>1913.83</v>
      </c>
      <c r="G137" s="1">
        <v>473.37</v>
      </c>
      <c r="H137" s="1">
        <v>914.85</v>
      </c>
      <c r="I137" s="1">
        <v>129.30000000000001</v>
      </c>
      <c r="J137" s="1">
        <v>3708.37</v>
      </c>
      <c r="K137" s="1">
        <v>354.8</v>
      </c>
      <c r="L137">
        <v>741</v>
      </c>
      <c r="M137" s="1">
        <v>359.8</v>
      </c>
      <c r="N137" s="1">
        <v>3824.46</v>
      </c>
      <c r="O137">
        <v>0</v>
      </c>
      <c r="P137" s="1">
        <v>0</v>
      </c>
      <c r="Q137">
        <v>10</v>
      </c>
      <c r="R137" s="1">
        <v>6.92</v>
      </c>
      <c r="S137">
        <v>41</v>
      </c>
      <c r="T137" s="1">
        <v>62.55</v>
      </c>
      <c r="U137" s="1">
        <v>51.62</v>
      </c>
      <c r="V137">
        <v>1</v>
      </c>
      <c r="W137" s="1">
        <v>10</v>
      </c>
      <c r="X137">
        <v>18</v>
      </c>
      <c r="Y137" s="1">
        <v>0</v>
      </c>
      <c r="Z137">
        <v>125</v>
      </c>
      <c r="AA137" s="1">
        <v>463.79</v>
      </c>
      <c r="AB137">
        <v>18</v>
      </c>
      <c r="AC137" s="1">
        <v>43.85</v>
      </c>
      <c r="AD137">
        <v>7</v>
      </c>
      <c r="AE137" s="1">
        <v>49.32</v>
      </c>
      <c r="AF137" s="1">
        <v>0</v>
      </c>
      <c r="AG137" s="1">
        <v>0</v>
      </c>
      <c r="AH137" s="1">
        <v>0</v>
      </c>
      <c r="AI137" s="1">
        <v>0</v>
      </c>
      <c r="AJ137" s="1">
        <v>361.42</v>
      </c>
      <c r="AL137" s="1">
        <v>4063.17</v>
      </c>
      <c r="AM137" s="1">
        <v>0</v>
      </c>
      <c r="AN137" s="1">
        <v>840</v>
      </c>
      <c r="AO137" s="1">
        <v>0</v>
      </c>
      <c r="AP137" s="1">
        <v>-90.25</v>
      </c>
      <c r="AQ137">
        <v>84</v>
      </c>
      <c r="AR137" s="1">
        <v>523.30999999999995</v>
      </c>
      <c r="AS137">
        <v>310</v>
      </c>
      <c r="AT137" s="1">
        <v>1846.9</v>
      </c>
      <c r="AU137">
        <v>37</v>
      </c>
      <c r="AV137" s="1">
        <v>358.69</v>
      </c>
      <c r="AW137">
        <v>11</v>
      </c>
      <c r="AX137" s="1">
        <v>58.97</v>
      </c>
      <c r="AY137">
        <v>62</v>
      </c>
      <c r="AZ137" s="1">
        <v>325.27</v>
      </c>
      <c r="BA137">
        <v>1</v>
      </c>
      <c r="BB137" s="1">
        <v>10.27</v>
      </c>
      <c r="BC137">
        <v>2</v>
      </c>
      <c r="BD137" s="1">
        <v>18.68</v>
      </c>
      <c r="BE137">
        <v>14</v>
      </c>
      <c r="BF137" s="1">
        <v>58.97</v>
      </c>
      <c r="BG137">
        <v>2</v>
      </c>
      <c r="BH137" s="1">
        <v>20.7</v>
      </c>
      <c r="BK137">
        <v>16</v>
      </c>
      <c r="BL137" s="1">
        <v>86.04</v>
      </c>
      <c r="BP137">
        <v>13</v>
      </c>
      <c r="BQ137" s="1">
        <v>153.02000000000001</v>
      </c>
      <c r="BR137" s="1">
        <v>140.49</v>
      </c>
      <c r="BZ137">
        <v>1</v>
      </c>
      <c r="CA137">
        <v>5</v>
      </c>
      <c r="CB137" s="1">
        <v>43.52</v>
      </c>
      <c r="CG137">
        <v>136</v>
      </c>
      <c r="CH137">
        <v>136</v>
      </c>
    </row>
    <row r="138" spans="1:86" x14ac:dyDescent="0.35">
      <c r="A138">
        <v>350437</v>
      </c>
      <c r="B138" s="2">
        <v>44208</v>
      </c>
      <c r="C138" s="2">
        <v>44208</v>
      </c>
      <c r="D138">
        <v>78</v>
      </c>
      <c r="E138" s="1">
        <v>256.45</v>
      </c>
      <c r="F138" s="1">
        <v>1036.1500000000001</v>
      </c>
      <c r="G138" s="1">
        <v>280.42</v>
      </c>
      <c r="H138" s="1">
        <v>587.91</v>
      </c>
      <c r="I138" s="1">
        <v>53.43</v>
      </c>
      <c r="J138" s="1">
        <v>2096.0100000000002</v>
      </c>
      <c r="K138" s="1">
        <v>0</v>
      </c>
      <c r="L138">
        <v>407</v>
      </c>
      <c r="M138" s="1">
        <v>0</v>
      </c>
      <c r="N138" s="1">
        <v>2193.79</v>
      </c>
      <c r="O138">
        <v>1</v>
      </c>
      <c r="P138" s="1">
        <v>13.85</v>
      </c>
      <c r="Q138">
        <v>8</v>
      </c>
      <c r="R138" s="1">
        <v>6.41</v>
      </c>
      <c r="S138">
        <v>17</v>
      </c>
      <c r="T138" s="1">
        <v>45.48</v>
      </c>
      <c r="U138" s="1">
        <v>32.04</v>
      </c>
      <c r="V138">
        <v>0</v>
      </c>
      <c r="W138" s="1">
        <v>0</v>
      </c>
      <c r="X138">
        <v>12</v>
      </c>
      <c r="Y138" s="1">
        <v>0</v>
      </c>
      <c r="Z138">
        <v>42</v>
      </c>
      <c r="AA138" s="1">
        <v>122.87</v>
      </c>
      <c r="AB138">
        <v>3</v>
      </c>
      <c r="AC138" s="1">
        <v>8.27</v>
      </c>
      <c r="AD138">
        <v>0</v>
      </c>
      <c r="AE138" s="1">
        <v>0</v>
      </c>
      <c r="AF138" s="1">
        <v>0</v>
      </c>
      <c r="AG138" s="1">
        <v>0</v>
      </c>
      <c r="AH138" s="1">
        <v>0</v>
      </c>
      <c r="AI138" s="1">
        <v>0</v>
      </c>
      <c r="AJ138" s="1">
        <v>186.46</v>
      </c>
      <c r="AL138" s="1">
        <v>2096.0100000000002</v>
      </c>
      <c r="AM138" s="1">
        <v>0</v>
      </c>
      <c r="AN138" s="1">
        <v>411</v>
      </c>
      <c r="AO138" s="1">
        <v>0</v>
      </c>
      <c r="AP138" s="1">
        <v>-0.09</v>
      </c>
      <c r="AQ138">
        <v>44</v>
      </c>
      <c r="AR138" s="1">
        <v>287.14999999999998</v>
      </c>
      <c r="AS138">
        <v>172</v>
      </c>
      <c r="AT138" s="1">
        <v>1003.52</v>
      </c>
      <c r="AU138">
        <v>39</v>
      </c>
      <c r="AV138" s="1">
        <v>216.17</v>
      </c>
      <c r="AW138">
        <v>3</v>
      </c>
      <c r="AX138" s="1">
        <v>19.52</v>
      </c>
      <c r="AY138">
        <v>44</v>
      </c>
      <c r="AZ138" s="1">
        <v>184.46</v>
      </c>
      <c r="BE138">
        <v>15</v>
      </c>
      <c r="BF138" s="1">
        <v>76.13</v>
      </c>
      <c r="BK138">
        <v>1</v>
      </c>
      <c r="BL138" s="1">
        <v>12.28</v>
      </c>
      <c r="BP138">
        <v>2</v>
      </c>
      <c r="BQ138" s="1">
        <v>20.85</v>
      </c>
      <c r="BR138" s="1">
        <v>19.149999999999999</v>
      </c>
      <c r="BZ138">
        <v>1</v>
      </c>
      <c r="CA138">
        <v>4</v>
      </c>
      <c r="CB138" s="1">
        <v>51.3</v>
      </c>
      <c r="CG138">
        <v>137</v>
      </c>
      <c r="CH138">
        <v>137</v>
      </c>
    </row>
    <row r="139" spans="1:86" x14ac:dyDescent="0.35">
      <c r="A139">
        <v>351323</v>
      </c>
      <c r="B139" s="2">
        <v>44208</v>
      </c>
      <c r="C139" s="2">
        <v>44208</v>
      </c>
      <c r="D139">
        <v>136</v>
      </c>
      <c r="E139" s="1">
        <v>442.67</v>
      </c>
      <c r="F139" s="1">
        <v>1612.52</v>
      </c>
      <c r="G139" s="1">
        <v>470.23</v>
      </c>
      <c r="H139" s="1">
        <v>747.96</v>
      </c>
      <c r="I139" s="1">
        <v>89.51</v>
      </c>
      <c r="J139" s="1">
        <v>3166.86</v>
      </c>
      <c r="K139" s="1">
        <v>241.75</v>
      </c>
      <c r="L139">
        <v>638</v>
      </c>
      <c r="M139" s="1">
        <v>246.83</v>
      </c>
      <c r="N139" s="1">
        <v>3293.78</v>
      </c>
      <c r="O139">
        <v>2</v>
      </c>
      <c r="P139" s="1">
        <v>6.46</v>
      </c>
      <c r="Q139">
        <v>6</v>
      </c>
      <c r="R139" s="1">
        <v>0.97</v>
      </c>
      <c r="S139">
        <v>47</v>
      </c>
      <c r="T139" s="1">
        <v>82.7</v>
      </c>
      <c r="U139" s="1">
        <v>41.87</v>
      </c>
      <c r="V139">
        <v>1</v>
      </c>
      <c r="W139" s="1">
        <v>10</v>
      </c>
      <c r="X139">
        <v>17</v>
      </c>
      <c r="Y139" s="1">
        <v>0</v>
      </c>
      <c r="Z139">
        <v>101</v>
      </c>
      <c r="AA139" s="1">
        <v>306.04000000000002</v>
      </c>
      <c r="AB139">
        <v>23</v>
      </c>
      <c r="AC139" s="1">
        <v>60.33</v>
      </c>
      <c r="AD139">
        <v>6</v>
      </c>
      <c r="AE139" s="1">
        <v>21.47</v>
      </c>
      <c r="AF139" s="1">
        <v>0</v>
      </c>
      <c r="AG139" s="1">
        <v>0</v>
      </c>
      <c r="AH139" s="1">
        <v>0</v>
      </c>
      <c r="AI139" s="1">
        <v>0</v>
      </c>
      <c r="AJ139" s="1">
        <v>204.26</v>
      </c>
      <c r="AL139" s="1">
        <v>3408.61</v>
      </c>
      <c r="AM139" s="1">
        <v>0</v>
      </c>
      <c r="AN139" s="1">
        <v>650</v>
      </c>
      <c r="AO139" s="1">
        <v>0</v>
      </c>
      <c r="AP139" s="1">
        <v>-39.08</v>
      </c>
      <c r="AQ139">
        <v>98</v>
      </c>
      <c r="AR139" s="1">
        <v>582.22</v>
      </c>
      <c r="AS139">
        <v>257</v>
      </c>
      <c r="AT139" s="1">
        <v>1649.51</v>
      </c>
      <c r="AU139">
        <v>12</v>
      </c>
      <c r="AV139" s="1">
        <v>83.51</v>
      </c>
      <c r="AW139">
        <v>10</v>
      </c>
      <c r="AX139" s="1">
        <v>58.6</v>
      </c>
      <c r="AY139">
        <v>70</v>
      </c>
      <c r="AZ139" s="1">
        <v>264.01</v>
      </c>
      <c r="BA139">
        <v>1</v>
      </c>
      <c r="BB139" s="1">
        <v>1.69</v>
      </c>
      <c r="BE139">
        <v>10</v>
      </c>
      <c r="BF139" s="1">
        <v>81.81</v>
      </c>
      <c r="BG139">
        <v>4</v>
      </c>
      <c r="BH139" s="1">
        <v>15.14</v>
      </c>
      <c r="BK139">
        <v>6</v>
      </c>
      <c r="BL139" s="1">
        <v>36.11</v>
      </c>
      <c r="BP139">
        <v>7</v>
      </c>
      <c r="BQ139" s="1">
        <v>101.28</v>
      </c>
      <c r="BR139" s="1">
        <v>95.54</v>
      </c>
      <c r="BZ139">
        <v>1</v>
      </c>
      <c r="CA139">
        <v>6</v>
      </c>
      <c r="CB139" s="1">
        <v>59.91</v>
      </c>
      <c r="CG139">
        <v>138</v>
      </c>
      <c r="CH139">
        <v>138</v>
      </c>
    </row>
    <row r="140" spans="1:86" x14ac:dyDescent="0.35">
      <c r="A140">
        <v>353927</v>
      </c>
      <c r="B140" s="2">
        <v>44208</v>
      </c>
      <c r="C140" s="2">
        <v>44208</v>
      </c>
      <c r="D140">
        <v>158</v>
      </c>
      <c r="E140" s="1">
        <v>502.97</v>
      </c>
      <c r="F140" s="1">
        <v>1606.55</v>
      </c>
      <c r="G140" s="1">
        <v>539.05999999999995</v>
      </c>
      <c r="H140" s="1">
        <v>677.1</v>
      </c>
      <c r="I140" s="1">
        <v>126.07</v>
      </c>
      <c r="J140" s="1">
        <v>3136.31</v>
      </c>
      <c r="K140" s="1">
        <v>0</v>
      </c>
      <c r="L140">
        <v>592</v>
      </c>
      <c r="M140" s="1">
        <v>0</v>
      </c>
      <c r="N140" s="1">
        <v>3319.26</v>
      </c>
      <c r="O140">
        <v>2</v>
      </c>
      <c r="P140" s="1">
        <v>12.55</v>
      </c>
      <c r="Q140">
        <v>4</v>
      </c>
      <c r="R140" s="1">
        <v>2.8</v>
      </c>
      <c r="S140">
        <v>70</v>
      </c>
      <c r="T140" s="1">
        <v>135.22</v>
      </c>
      <c r="U140" s="1">
        <v>32.380000000000003</v>
      </c>
      <c r="V140">
        <v>1</v>
      </c>
      <c r="W140" s="1">
        <v>5</v>
      </c>
      <c r="X140">
        <v>8</v>
      </c>
      <c r="Y140" s="1">
        <v>0</v>
      </c>
      <c r="Z140">
        <v>79</v>
      </c>
      <c r="AA140" s="1">
        <v>249.18</v>
      </c>
      <c r="AB140">
        <v>11</v>
      </c>
      <c r="AC140" s="1">
        <v>23.79</v>
      </c>
      <c r="AD140">
        <v>1</v>
      </c>
      <c r="AE140" s="1">
        <v>0</v>
      </c>
      <c r="AF140" s="1">
        <v>0</v>
      </c>
      <c r="AG140" s="1">
        <v>0</v>
      </c>
      <c r="AH140" s="1">
        <v>0</v>
      </c>
      <c r="AI140" s="1">
        <v>0</v>
      </c>
      <c r="AJ140" s="1">
        <v>188</v>
      </c>
      <c r="AL140" s="1">
        <v>3136.31</v>
      </c>
      <c r="AM140" s="1">
        <v>0</v>
      </c>
      <c r="AN140" s="1">
        <v>767</v>
      </c>
      <c r="AO140" s="1">
        <v>0</v>
      </c>
      <c r="AP140" s="1">
        <v>-9.8699999999999992</v>
      </c>
      <c r="AQ140">
        <v>73</v>
      </c>
      <c r="AR140" s="1">
        <v>428.03</v>
      </c>
      <c r="AS140">
        <v>250</v>
      </c>
      <c r="AT140" s="1">
        <v>1551.41</v>
      </c>
      <c r="AU140">
        <v>7</v>
      </c>
      <c r="AV140" s="1">
        <v>44.59</v>
      </c>
      <c r="AW140">
        <v>4</v>
      </c>
      <c r="AX140" s="1">
        <v>24.2</v>
      </c>
      <c r="AY140">
        <v>57</v>
      </c>
      <c r="AZ140" s="1">
        <v>292.52</v>
      </c>
      <c r="BA140">
        <v>1</v>
      </c>
      <c r="BB140" s="1">
        <v>4.75</v>
      </c>
      <c r="BE140">
        <v>13</v>
      </c>
      <c r="BF140" s="1">
        <v>53.36</v>
      </c>
      <c r="BG140">
        <v>3</v>
      </c>
      <c r="BH140" s="1">
        <v>61.56</v>
      </c>
      <c r="BK140">
        <v>6</v>
      </c>
      <c r="BL140" s="1">
        <v>29.73</v>
      </c>
      <c r="BP140">
        <v>4</v>
      </c>
      <c r="BQ140" s="1">
        <v>26.68</v>
      </c>
      <c r="BR140" s="1">
        <v>25.16</v>
      </c>
      <c r="BZ140">
        <v>1</v>
      </c>
      <c r="CA140">
        <v>3</v>
      </c>
      <c r="CB140" s="1">
        <v>35.61</v>
      </c>
      <c r="CG140">
        <v>139</v>
      </c>
      <c r="CH140">
        <v>139</v>
      </c>
    </row>
    <row r="141" spans="1:86" x14ac:dyDescent="0.35">
      <c r="A141">
        <v>354030</v>
      </c>
      <c r="B141" s="2">
        <v>44208</v>
      </c>
      <c r="C141" s="2">
        <v>44208</v>
      </c>
      <c r="D141">
        <v>110</v>
      </c>
      <c r="E141" s="1">
        <v>353.77</v>
      </c>
      <c r="F141" s="1">
        <v>1309.1300000000001</v>
      </c>
      <c r="G141" s="1">
        <v>408.86</v>
      </c>
      <c r="H141" s="1">
        <v>512.96</v>
      </c>
      <c r="I141" s="1">
        <v>75.12</v>
      </c>
      <c r="J141" s="1">
        <v>2450.5</v>
      </c>
      <c r="K141" s="1">
        <v>106.38</v>
      </c>
      <c r="L141">
        <v>469</v>
      </c>
      <c r="M141" s="1">
        <v>108.57</v>
      </c>
      <c r="N141" s="1">
        <v>2543.7800000000002</v>
      </c>
      <c r="O141">
        <v>1</v>
      </c>
      <c r="P141" s="1">
        <v>4.9800000000000004</v>
      </c>
      <c r="Q141">
        <v>2</v>
      </c>
      <c r="R141" s="1">
        <v>0.23</v>
      </c>
      <c r="S141">
        <v>26</v>
      </c>
      <c r="T141" s="1">
        <v>59.59</v>
      </c>
      <c r="U141" s="1">
        <v>30.67</v>
      </c>
      <c r="V141">
        <v>0</v>
      </c>
      <c r="W141" s="1">
        <v>0</v>
      </c>
      <c r="X141">
        <v>5</v>
      </c>
      <c r="Y141" s="1">
        <v>0</v>
      </c>
      <c r="Z141">
        <v>41</v>
      </c>
      <c r="AA141" s="1">
        <v>111.71</v>
      </c>
      <c r="AB141">
        <v>2</v>
      </c>
      <c r="AC141" s="1">
        <v>4.38</v>
      </c>
      <c r="AD141">
        <v>4</v>
      </c>
      <c r="AE141" s="1">
        <v>27.95</v>
      </c>
      <c r="AF141" s="1">
        <v>0</v>
      </c>
      <c r="AG141" s="1">
        <v>0</v>
      </c>
      <c r="AH141" s="1">
        <v>0</v>
      </c>
      <c r="AI141" s="1">
        <v>0</v>
      </c>
      <c r="AJ141" s="1">
        <v>153.38</v>
      </c>
      <c r="AL141" s="1">
        <v>2556.88</v>
      </c>
      <c r="AM141" s="1">
        <v>0</v>
      </c>
      <c r="AN141" s="1">
        <v>437</v>
      </c>
      <c r="AO141" s="1">
        <v>0</v>
      </c>
      <c r="AP141" s="1">
        <v>65.709999999999994</v>
      </c>
      <c r="AQ141">
        <v>77</v>
      </c>
      <c r="AR141" s="1">
        <v>516.86</v>
      </c>
      <c r="AS141">
        <v>175</v>
      </c>
      <c r="AT141" s="1">
        <v>1100.75</v>
      </c>
      <c r="AU141">
        <v>19</v>
      </c>
      <c r="AV141" s="1">
        <v>124.54</v>
      </c>
      <c r="AW141">
        <v>5</v>
      </c>
      <c r="AX141" s="1">
        <v>27.38</v>
      </c>
      <c r="AY141">
        <v>81</v>
      </c>
      <c r="AZ141" s="1">
        <v>366.3</v>
      </c>
      <c r="BA141">
        <v>1</v>
      </c>
      <c r="BB141" s="1">
        <v>3.91</v>
      </c>
      <c r="BC141">
        <v>3</v>
      </c>
      <c r="BD141" s="1">
        <v>17.440000000000001</v>
      </c>
      <c r="BE141">
        <v>14</v>
      </c>
      <c r="BF141" s="1">
        <v>66.55</v>
      </c>
      <c r="BG141">
        <v>3</v>
      </c>
      <c r="BH141" s="1">
        <v>27.49</v>
      </c>
      <c r="BK141">
        <v>5</v>
      </c>
      <c r="BL141" s="1">
        <v>35.74</v>
      </c>
      <c r="BZ141">
        <v>1</v>
      </c>
      <c r="CA141">
        <v>7</v>
      </c>
      <c r="CB141" s="1">
        <v>52.01</v>
      </c>
      <c r="CG141">
        <v>140</v>
      </c>
      <c r="CH141">
        <v>140</v>
      </c>
    </row>
    <row r="142" spans="1:86" x14ac:dyDescent="0.35">
      <c r="A142">
        <v>355439</v>
      </c>
      <c r="B142" s="2">
        <v>44208</v>
      </c>
      <c r="C142" s="2">
        <v>44208</v>
      </c>
      <c r="D142">
        <v>196</v>
      </c>
      <c r="E142" s="1">
        <v>619.03</v>
      </c>
      <c r="F142" s="1">
        <v>1901.63</v>
      </c>
      <c r="G142" s="1">
        <v>653.21</v>
      </c>
      <c r="H142" s="1">
        <v>668.01</v>
      </c>
      <c r="I142" s="1">
        <v>143.72999999999999</v>
      </c>
      <c r="J142" s="1">
        <v>3598.96</v>
      </c>
      <c r="K142" s="1">
        <v>0</v>
      </c>
      <c r="L142">
        <v>709</v>
      </c>
      <c r="M142" s="1">
        <v>0</v>
      </c>
      <c r="N142" s="1">
        <v>3734.02</v>
      </c>
      <c r="O142">
        <v>1</v>
      </c>
      <c r="P142" s="1">
        <v>6.37</v>
      </c>
      <c r="Q142">
        <v>12</v>
      </c>
      <c r="R142" s="1">
        <v>4.03</v>
      </c>
      <c r="S142">
        <v>52</v>
      </c>
      <c r="T142" s="1">
        <v>84.46</v>
      </c>
      <c r="U142" s="1">
        <v>40.200000000000003</v>
      </c>
      <c r="V142">
        <v>1</v>
      </c>
      <c r="W142" s="1">
        <v>20</v>
      </c>
      <c r="X142">
        <v>14</v>
      </c>
      <c r="Y142" s="1">
        <v>0</v>
      </c>
      <c r="Z142">
        <v>65</v>
      </c>
      <c r="AA142" s="1">
        <v>187.38</v>
      </c>
      <c r="AB142">
        <v>8</v>
      </c>
      <c r="AC142" s="1">
        <v>20.73</v>
      </c>
      <c r="AD142">
        <v>3</v>
      </c>
      <c r="AE142" s="1">
        <v>12.96</v>
      </c>
      <c r="AF142" s="1">
        <v>0</v>
      </c>
      <c r="AG142" s="1">
        <v>0</v>
      </c>
      <c r="AH142" s="1">
        <v>0</v>
      </c>
      <c r="AI142" s="1">
        <v>0</v>
      </c>
      <c r="AJ142" s="1">
        <v>288.27999999999997</v>
      </c>
      <c r="AL142" s="1">
        <v>3598.96</v>
      </c>
      <c r="AM142" s="1">
        <v>0</v>
      </c>
      <c r="AN142" s="1">
        <v>701</v>
      </c>
      <c r="AO142" s="1">
        <v>0</v>
      </c>
      <c r="AP142" s="1">
        <v>-41.9</v>
      </c>
      <c r="AQ142">
        <v>83</v>
      </c>
      <c r="AR142" s="1">
        <v>471.56</v>
      </c>
      <c r="AS142">
        <v>319</v>
      </c>
      <c r="AT142" s="1">
        <v>1871.83</v>
      </c>
      <c r="AU142">
        <v>23</v>
      </c>
      <c r="AV142" s="1">
        <v>192.56</v>
      </c>
      <c r="AW142">
        <v>8</v>
      </c>
      <c r="AX142" s="1">
        <v>40.090000000000003</v>
      </c>
      <c r="AY142">
        <v>64</v>
      </c>
      <c r="AZ142" s="1">
        <v>288.49</v>
      </c>
      <c r="BA142">
        <v>1</v>
      </c>
      <c r="BB142" s="1">
        <v>5.27</v>
      </c>
      <c r="BC142">
        <v>2</v>
      </c>
      <c r="BD142" s="1">
        <v>17.07</v>
      </c>
      <c r="BE142">
        <v>13</v>
      </c>
      <c r="BF142" s="1">
        <v>55.95</v>
      </c>
      <c r="BG142">
        <v>7</v>
      </c>
      <c r="BH142" s="1">
        <v>39.86</v>
      </c>
      <c r="BK142">
        <v>9</v>
      </c>
      <c r="BL142" s="1">
        <v>74.569999999999993</v>
      </c>
      <c r="BM142">
        <v>1</v>
      </c>
      <c r="BN142" s="1">
        <v>14.96</v>
      </c>
      <c r="BO142" s="1">
        <v>13.85</v>
      </c>
      <c r="BP142">
        <v>3</v>
      </c>
      <c r="BQ142" s="1">
        <v>41.82</v>
      </c>
      <c r="BR142" s="1">
        <v>38.729999999999997</v>
      </c>
      <c r="BZ142">
        <v>1</v>
      </c>
      <c r="CA142">
        <v>5</v>
      </c>
      <c r="CB142" s="1">
        <v>50.31</v>
      </c>
      <c r="CG142">
        <v>141</v>
      </c>
      <c r="CH142">
        <v>141</v>
      </c>
    </row>
    <row r="143" spans="1:86" x14ac:dyDescent="0.35">
      <c r="A143">
        <v>350432</v>
      </c>
      <c r="B143" s="2">
        <v>44209</v>
      </c>
      <c r="C143" s="2">
        <v>44209</v>
      </c>
      <c r="D143">
        <v>175</v>
      </c>
      <c r="E143" s="1">
        <v>536.89</v>
      </c>
      <c r="F143" s="1">
        <v>1875.13</v>
      </c>
      <c r="G143" s="1">
        <v>470.46</v>
      </c>
      <c r="H143" s="1">
        <v>873.57</v>
      </c>
      <c r="I143" s="1">
        <v>125.85</v>
      </c>
      <c r="J143" s="1">
        <v>3678.68</v>
      </c>
      <c r="K143" s="1">
        <v>452.84</v>
      </c>
      <c r="L143">
        <v>719</v>
      </c>
      <c r="M143" s="1">
        <v>455.17</v>
      </c>
      <c r="N143" s="1">
        <v>3799.17</v>
      </c>
      <c r="O143">
        <v>0</v>
      </c>
      <c r="P143" s="1">
        <v>0</v>
      </c>
      <c r="Q143">
        <v>9</v>
      </c>
      <c r="R143" s="1">
        <v>2.02</v>
      </c>
      <c r="S143">
        <v>43</v>
      </c>
      <c r="T143" s="1">
        <v>77.58</v>
      </c>
      <c r="U143" s="1">
        <v>43.22</v>
      </c>
      <c r="V143">
        <v>1</v>
      </c>
      <c r="W143" s="1">
        <v>15</v>
      </c>
      <c r="X143">
        <v>18</v>
      </c>
      <c r="Y143" s="1">
        <v>0</v>
      </c>
      <c r="Z143">
        <v>147</v>
      </c>
      <c r="AA143" s="1">
        <v>370.54</v>
      </c>
      <c r="AB143">
        <v>34</v>
      </c>
      <c r="AC143" s="1">
        <v>105.93</v>
      </c>
      <c r="AD143">
        <v>4</v>
      </c>
      <c r="AE143" s="1">
        <v>13.45</v>
      </c>
      <c r="AF143" s="1">
        <v>0</v>
      </c>
      <c r="AG143" s="1">
        <v>0</v>
      </c>
      <c r="AH143" s="1">
        <v>0</v>
      </c>
      <c r="AI143" s="1">
        <v>0</v>
      </c>
      <c r="AJ143" s="1">
        <v>367.4</v>
      </c>
      <c r="AL143" s="1">
        <v>4131.5200000000004</v>
      </c>
      <c r="AM143" s="1">
        <v>0</v>
      </c>
      <c r="AN143" s="1">
        <v>913</v>
      </c>
      <c r="AO143" s="1">
        <v>0</v>
      </c>
      <c r="AP143" s="1">
        <v>-13.14</v>
      </c>
      <c r="AQ143">
        <v>92</v>
      </c>
      <c r="AR143" s="1">
        <v>753.17</v>
      </c>
      <c r="AS143">
        <v>282</v>
      </c>
      <c r="AT143" s="1">
        <v>1872.2</v>
      </c>
      <c r="AU143">
        <v>31</v>
      </c>
      <c r="AV143" s="1">
        <v>214.16</v>
      </c>
      <c r="AW143">
        <v>10</v>
      </c>
      <c r="AX143" s="1">
        <v>55.21</v>
      </c>
      <c r="AY143">
        <v>63</v>
      </c>
      <c r="AZ143" s="1">
        <v>280.24</v>
      </c>
      <c r="BC143">
        <v>3</v>
      </c>
      <c r="BD143" s="1">
        <v>11.06</v>
      </c>
      <c r="BE143">
        <v>14</v>
      </c>
      <c r="BF143" s="1">
        <v>74.489999999999995</v>
      </c>
      <c r="BG143">
        <v>4</v>
      </c>
      <c r="BH143" s="1">
        <v>19.86</v>
      </c>
      <c r="BK143">
        <v>8</v>
      </c>
      <c r="BL143" s="1">
        <v>64.16</v>
      </c>
      <c r="BP143">
        <v>14</v>
      </c>
      <c r="BQ143" s="1">
        <v>183.01</v>
      </c>
      <c r="BR143" s="1">
        <v>168.04</v>
      </c>
      <c r="BZ143">
        <v>1</v>
      </c>
      <c r="CA143">
        <v>6</v>
      </c>
      <c r="CB143" s="1">
        <v>60.22</v>
      </c>
      <c r="CG143">
        <v>142</v>
      </c>
      <c r="CH143">
        <v>142</v>
      </c>
    </row>
    <row r="144" spans="1:86" x14ac:dyDescent="0.35">
      <c r="A144">
        <v>350437</v>
      </c>
      <c r="B144" s="2">
        <v>44209</v>
      </c>
      <c r="C144" s="2">
        <v>44209</v>
      </c>
      <c r="D144">
        <v>93</v>
      </c>
      <c r="E144" s="1">
        <v>311.43</v>
      </c>
      <c r="F144" s="1">
        <v>1099.5899999999999</v>
      </c>
      <c r="G144" s="1">
        <v>467.14</v>
      </c>
      <c r="H144" s="1">
        <v>629.54999999999995</v>
      </c>
      <c r="I144" s="1">
        <v>48.75</v>
      </c>
      <c r="J144" s="1">
        <v>2394.7800000000002</v>
      </c>
      <c r="K144" s="1">
        <v>0</v>
      </c>
      <c r="L144">
        <v>446</v>
      </c>
      <c r="M144" s="1">
        <v>0</v>
      </c>
      <c r="N144" s="1">
        <v>2448.4699999999998</v>
      </c>
      <c r="O144">
        <v>0</v>
      </c>
      <c r="P144" s="1">
        <v>0</v>
      </c>
      <c r="Q144">
        <v>8</v>
      </c>
      <c r="R144" s="1">
        <v>4.34</v>
      </c>
      <c r="S144">
        <v>10</v>
      </c>
      <c r="T144" s="1">
        <v>22.83</v>
      </c>
      <c r="U144" s="1">
        <v>26.52</v>
      </c>
      <c r="V144">
        <v>0</v>
      </c>
      <c r="W144" s="1">
        <v>0</v>
      </c>
      <c r="X144">
        <v>8</v>
      </c>
      <c r="Y144" s="1">
        <v>0</v>
      </c>
      <c r="Z144">
        <v>61</v>
      </c>
      <c r="AA144" s="1">
        <v>152.62</v>
      </c>
      <c r="AB144">
        <v>5</v>
      </c>
      <c r="AC144" s="1">
        <v>7.66</v>
      </c>
      <c r="AD144">
        <v>0</v>
      </c>
      <c r="AE144" s="1">
        <v>0</v>
      </c>
      <c r="AF144" s="1">
        <v>0</v>
      </c>
      <c r="AG144" s="1">
        <v>0</v>
      </c>
      <c r="AH144" s="1">
        <v>0</v>
      </c>
      <c r="AI144" s="1">
        <v>0</v>
      </c>
      <c r="AJ144" s="1">
        <v>213.01</v>
      </c>
      <c r="AL144" s="1">
        <v>2394.7800000000002</v>
      </c>
      <c r="AM144" s="1">
        <v>0</v>
      </c>
      <c r="AN144" s="1">
        <v>432</v>
      </c>
      <c r="AO144" s="1">
        <v>0</v>
      </c>
      <c r="AP144" s="1">
        <v>11.82</v>
      </c>
      <c r="AQ144">
        <v>49</v>
      </c>
      <c r="AR144" s="1">
        <v>315.45</v>
      </c>
      <c r="AS144">
        <v>192</v>
      </c>
      <c r="AT144" s="1">
        <v>1210.6199999999999</v>
      </c>
      <c r="AU144">
        <v>48</v>
      </c>
      <c r="AV144" s="1">
        <v>296.89999999999998</v>
      </c>
      <c r="AW144">
        <v>7</v>
      </c>
      <c r="AX144" s="1">
        <v>33.06</v>
      </c>
      <c r="AY144">
        <v>40</v>
      </c>
      <c r="AZ144" s="1">
        <v>199.46</v>
      </c>
      <c r="BC144">
        <v>1</v>
      </c>
      <c r="BD144" s="1">
        <v>5.54</v>
      </c>
      <c r="BE144">
        <v>8</v>
      </c>
      <c r="BF144" s="1">
        <v>35.64</v>
      </c>
      <c r="BK144">
        <v>5</v>
      </c>
      <c r="BL144" s="1">
        <v>32.979999999999997</v>
      </c>
      <c r="BP144">
        <v>4</v>
      </c>
      <c r="BQ144" s="1">
        <v>39.200000000000003</v>
      </c>
      <c r="BR144" s="1">
        <v>36</v>
      </c>
      <c r="BZ144">
        <v>1</v>
      </c>
      <c r="CA144">
        <v>2</v>
      </c>
      <c r="CB144" s="1">
        <v>18.760000000000002</v>
      </c>
      <c r="CG144">
        <v>143</v>
      </c>
      <c r="CH144">
        <v>143</v>
      </c>
    </row>
    <row r="145" spans="1:86" x14ac:dyDescent="0.35">
      <c r="A145">
        <v>351323</v>
      </c>
      <c r="B145" s="2">
        <v>44209</v>
      </c>
      <c r="C145" s="2">
        <v>44209</v>
      </c>
      <c r="D145">
        <v>147</v>
      </c>
      <c r="E145" s="1">
        <v>505.36</v>
      </c>
      <c r="F145" s="1">
        <v>1618.68</v>
      </c>
      <c r="G145" s="1">
        <v>499.55</v>
      </c>
      <c r="H145" s="1">
        <v>666.77</v>
      </c>
      <c r="I145" s="1">
        <v>84.83</v>
      </c>
      <c r="J145" s="1">
        <v>3061.1</v>
      </c>
      <c r="K145" s="1">
        <v>285.12</v>
      </c>
      <c r="L145">
        <v>608</v>
      </c>
      <c r="M145" s="1">
        <v>287.31</v>
      </c>
      <c r="N145" s="1">
        <v>3162.59</v>
      </c>
      <c r="O145">
        <v>0</v>
      </c>
      <c r="P145" s="1">
        <v>0</v>
      </c>
      <c r="Q145">
        <v>4</v>
      </c>
      <c r="R145" s="1">
        <v>0.56000000000000005</v>
      </c>
      <c r="S145">
        <v>42</v>
      </c>
      <c r="T145" s="1">
        <v>64.930000000000007</v>
      </c>
      <c r="U145" s="1">
        <v>38.19</v>
      </c>
      <c r="V145">
        <v>0</v>
      </c>
      <c r="W145" s="1">
        <v>0</v>
      </c>
      <c r="X145">
        <v>9</v>
      </c>
      <c r="Y145" s="1">
        <v>0</v>
      </c>
      <c r="Z145">
        <v>83</v>
      </c>
      <c r="AA145" s="1">
        <v>219.39</v>
      </c>
      <c r="AB145">
        <v>6</v>
      </c>
      <c r="AC145" s="1">
        <v>16.350000000000001</v>
      </c>
      <c r="AD145">
        <v>6</v>
      </c>
      <c r="AE145" s="1">
        <v>18.61</v>
      </c>
      <c r="AF145" s="1">
        <v>0</v>
      </c>
      <c r="AG145" s="1">
        <v>0</v>
      </c>
      <c r="AH145" s="1">
        <v>0</v>
      </c>
      <c r="AI145" s="1">
        <v>0</v>
      </c>
      <c r="AJ145" s="1">
        <v>200.6</v>
      </c>
      <c r="AL145" s="1">
        <v>3346.22</v>
      </c>
      <c r="AM145" s="1">
        <v>0</v>
      </c>
      <c r="AN145" s="1">
        <v>660</v>
      </c>
      <c r="AO145" s="1">
        <v>0</v>
      </c>
      <c r="AP145" s="1">
        <v>24.11</v>
      </c>
      <c r="AQ145">
        <v>88</v>
      </c>
      <c r="AR145" s="1">
        <v>613.98</v>
      </c>
      <c r="AS145">
        <v>262</v>
      </c>
      <c r="AT145" s="1">
        <v>1635.27</v>
      </c>
      <c r="AU145">
        <v>12</v>
      </c>
      <c r="AV145" s="1">
        <v>74.010000000000005</v>
      </c>
      <c r="AW145">
        <v>5</v>
      </c>
      <c r="AX145" s="1">
        <v>37.450000000000003</v>
      </c>
      <c r="AY145">
        <v>80</v>
      </c>
      <c r="AZ145" s="1">
        <v>345.07</v>
      </c>
      <c r="BA145">
        <v>1</v>
      </c>
      <c r="BB145" s="1">
        <v>9.4</v>
      </c>
      <c r="BE145">
        <v>13</v>
      </c>
      <c r="BF145" s="1">
        <v>69.16</v>
      </c>
      <c r="BG145">
        <v>4</v>
      </c>
      <c r="BH145" s="1">
        <v>23.72</v>
      </c>
      <c r="BK145">
        <v>4</v>
      </c>
      <c r="BL145" s="1">
        <v>24.18</v>
      </c>
      <c r="BM145">
        <v>1</v>
      </c>
      <c r="BN145" s="1">
        <v>5.08</v>
      </c>
      <c r="BO145" s="1">
        <v>4.79</v>
      </c>
      <c r="BP145">
        <v>4</v>
      </c>
      <c r="BQ145" s="1">
        <v>45.27</v>
      </c>
      <c r="BR145" s="1">
        <v>42.7</v>
      </c>
      <c r="BZ145">
        <v>1</v>
      </c>
      <c r="CA145">
        <v>1</v>
      </c>
      <c r="CB145" s="1">
        <v>28.34</v>
      </c>
      <c r="CG145">
        <v>144</v>
      </c>
      <c r="CH145">
        <v>144</v>
      </c>
    </row>
    <row r="146" spans="1:86" x14ac:dyDescent="0.35">
      <c r="A146">
        <v>353927</v>
      </c>
      <c r="B146" s="2">
        <v>44209</v>
      </c>
      <c r="C146" s="2">
        <v>44209</v>
      </c>
      <c r="D146">
        <v>118</v>
      </c>
      <c r="E146" s="1">
        <v>340.61</v>
      </c>
      <c r="F146" s="1">
        <v>1510.35</v>
      </c>
      <c r="G146" s="1">
        <v>617.61</v>
      </c>
      <c r="H146" s="1">
        <v>818.11</v>
      </c>
      <c r="I146" s="1">
        <v>94.28</v>
      </c>
      <c r="J146" s="1">
        <v>3232.46</v>
      </c>
      <c r="K146" s="1">
        <v>0</v>
      </c>
      <c r="L146">
        <v>600</v>
      </c>
      <c r="M146" s="1">
        <v>0</v>
      </c>
      <c r="N146" s="1">
        <v>3386.42</v>
      </c>
      <c r="O146">
        <v>0</v>
      </c>
      <c r="P146" s="1">
        <v>0</v>
      </c>
      <c r="Q146">
        <v>7</v>
      </c>
      <c r="R146" s="1">
        <v>7.92</v>
      </c>
      <c r="S146">
        <v>64</v>
      </c>
      <c r="T146" s="1">
        <v>115.58</v>
      </c>
      <c r="U146" s="1">
        <v>30.46</v>
      </c>
      <c r="V146">
        <v>0</v>
      </c>
      <c r="W146" s="1">
        <v>0</v>
      </c>
      <c r="X146">
        <v>14</v>
      </c>
      <c r="Y146" s="1">
        <v>0</v>
      </c>
      <c r="Z146">
        <v>96</v>
      </c>
      <c r="AA146" s="1">
        <v>281.91000000000003</v>
      </c>
      <c r="AB146">
        <v>11</v>
      </c>
      <c r="AC146" s="1">
        <v>36.799999999999997</v>
      </c>
      <c r="AD146">
        <v>6</v>
      </c>
      <c r="AE146" s="1">
        <v>14.39</v>
      </c>
      <c r="AF146" s="1">
        <v>0</v>
      </c>
      <c r="AG146" s="1">
        <v>0</v>
      </c>
      <c r="AH146" s="1">
        <v>0</v>
      </c>
      <c r="AI146" s="1">
        <v>0</v>
      </c>
      <c r="AJ146" s="1">
        <v>193.68</v>
      </c>
      <c r="AL146" s="1">
        <v>3232.46</v>
      </c>
      <c r="AM146" s="1">
        <v>0</v>
      </c>
      <c r="AN146" s="1">
        <v>806.88</v>
      </c>
      <c r="AO146" s="1">
        <v>0</v>
      </c>
      <c r="AP146" s="1">
        <v>3.06</v>
      </c>
      <c r="AQ146">
        <v>81</v>
      </c>
      <c r="AR146" s="1">
        <v>563.24</v>
      </c>
      <c r="AS146">
        <v>249</v>
      </c>
      <c r="AT146" s="1">
        <v>1531.65</v>
      </c>
      <c r="AU146">
        <v>9</v>
      </c>
      <c r="AV146" s="1">
        <v>66.45</v>
      </c>
      <c r="AW146">
        <v>5</v>
      </c>
      <c r="AX146" s="1">
        <v>26.74</v>
      </c>
      <c r="AY146">
        <v>57</v>
      </c>
      <c r="AZ146" s="1">
        <v>237.31</v>
      </c>
      <c r="BA146">
        <v>1</v>
      </c>
      <c r="BB146" s="1">
        <v>2.85</v>
      </c>
      <c r="BE146">
        <v>15</v>
      </c>
      <c r="BF146" s="1">
        <v>87.39</v>
      </c>
      <c r="BK146">
        <v>8</v>
      </c>
      <c r="BL146" s="1">
        <v>57.82</v>
      </c>
      <c r="BZ146">
        <v>1</v>
      </c>
      <c r="CA146">
        <v>4</v>
      </c>
      <c r="CB146" s="1">
        <v>48.87</v>
      </c>
      <c r="CG146">
        <v>145</v>
      </c>
      <c r="CH146">
        <v>145</v>
      </c>
    </row>
    <row r="147" spans="1:86" x14ac:dyDescent="0.35">
      <c r="A147">
        <v>354030</v>
      </c>
      <c r="B147" s="2">
        <v>44209</v>
      </c>
      <c r="C147" s="2">
        <v>44209</v>
      </c>
      <c r="D147">
        <v>123</v>
      </c>
      <c r="E147" s="1">
        <v>422.39</v>
      </c>
      <c r="F147" s="1">
        <v>1423.83</v>
      </c>
      <c r="G147" s="1">
        <v>574.54</v>
      </c>
      <c r="H147" s="1">
        <v>506.85</v>
      </c>
      <c r="I147" s="1">
        <v>109.11</v>
      </c>
      <c r="J147" s="1">
        <v>2773.49</v>
      </c>
      <c r="K147" s="1">
        <v>134.38999999999999</v>
      </c>
      <c r="L147">
        <v>499</v>
      </c>
      <c r="M147" s="1">
        <v>138.77000000000001</v>
      </c>
      <c r="N147" s="1">
        <v>2857.93</v>
      </c>
      <c r="O147">
        <v>1</v>
      </c>
      <c r="P147" s="1">
        <v>2.94</v>
      </c>
      <c r="Q147">
        <v>4</v>
      </c>
      <c r="R147" s="1">
        <v>0.83</v>
      </c>
      <c r="S147">
        <v>27</v>
      </c>
      <c r="T147" s="1">
        <v>44.51</v>
      </c>
      <c r="U147" s="1">
        <v>40.54</v>
      </c>
      <c r="V147">
        <v>1</v>
      </c>
      <c r="W147" s="1">
        <v>20</v>
      </c>
      <c r="X147">
        <v>10</v>
      </c>
      <c r="Y147" s="1">
        <v>0</v>
      </c>
      <c r="Z147">
        <v>59</v>
      </c>
      <c r="AA147" s="1">
        <v>137.22999999999999</v>
      </c>
      <c r="AB147">
        <v>11</v>
      </c>
      <c r="AC147" s="1">
        <v>24.8</v>
      </c>
      <c r="AD147">
        <v>3</v>
      </c>
      <c r="AE147" s="1">
        <v>4.62</v>
      </c>
      <c r="AF147" s="1">
        <v>0</v>
      </c>
      <c r="AG147" s="1">
        <v>0</v>
      </c>
      <c r="AH147" s="1">
        <v>0</v>
      </c>
      <c r="AI147" s="1">
        <v>0</v>
      </c>
      <c r="AJ147" s="1">
        <v>174.46</v>
      </c>
      <c r="AL147" s="1">
        <v>2907.88</v>
      </c>
      <c r="AM147" s="1">
        <v>0</v>
      </c>
      <c r="AN147" s="1">
        <v>437</v>
      </c>
      <c r="AO147" s="1">
        <v>0</v>
      </c>
      <c r="AP147" s="1">
        <v>3.03</v>
      </c>
      <c r="AQ147">
        <v>71</v>
      </c>
      <c r="AR147" s="1">
        <v>470.32</v>
      </c>
      <c r="AS147">
        <v>206</v>
      </c>
      <c r="AT147" s="1">
        <v>1416.62</v>
      </c>
      <c r="AU147">
        <v>10</v>
      </c>
      <c r="AV147" s="1">
        <v>67.95</v>
      </c>
      <c r="AW147">
        <v>4</v>
      </c>
      <c r="AX147" s="1">
        <v>24.26</v>
      </c>
      <c r="AY147">
        <v>75</v>
      </c>
      <c r="AZ147" s="1">
        <v>377.56</v>
      </c>
      <c r="BC147">
        <v>2</v>
      </c>
      <c r="BD147" s="1">
        <v>6.77</v>
      </c>
      <c r="BE147">
        <v>18</v>
      </c>
      <c r="BF147" s="1">
        <v>138.85</v>
      </c>
      <c r="BG147">
        <v>3</v>
      </c>
      <c r="BH147" s="1">
        <v>23.76</v>
      </c>
      <c r="BI147">
        <v>1</v>
      </c>
      <c r="BJ147" s="1">
        <v>26.49</v>
      </c>
      <c r="BK147">
        <v>12</v>
      </c>
      <c r="BL147" s="1">
        <v>77.23</v>
      </c>
      <c r="BZ147">
        <v>1</v>
      </c>
      <c r="CA147">
        <v>4</v>
      </c>
      <c r="CB147" s="1">
        <v>38.56</v>
      </c>
      <c r="CG147">
        <v>146</v>
      </c>
      <c r="CH147">
        <v>146</v>
      </c>
    </row>
    <row r="148" spans="1:86" x14ac:dyDescent="0.35">
      <c r="A148">
        <v>355439</v>
      </c>
      <c r="B148" s="2">
        <v>44209</v>
      </c>
      <c r="C148" s="2">
        <v>44209</v>
      </c>
      <c r="D148">
        <v>207</v>
      </c>
      <c r="E148" s="1">
        <v>674.26</v>
      </c>
      <c r="F148" s="1">
        <v>2034.27</v>
      </c>
      <c r="G148" s="1">
        <v>687.2</v>
      </c>
      <c r="H148" s="1">
        <v>829.24</v>
      </c>
      <c r="I148" s="1">
        <v>101.77</v>
      </c>
      <c r="J148" s="1">
        <v>3880.35</v>
      </c>
      <c r="K148" s="1">
        <v>0</v>
      </c>
      <c r="L148">
        <v>691</v>
      </c>
      <c r="M148" s="1">
        <v>0</v>
      </c>
      <c r="N148" s="1">
        <v>4035.97</v>
      </c>
      <c r="O148">
        <v>1</v>
      </c>
      <c r="P148" s="1">
        <v>6.37</v>
      </c>
      <c r="Q148">
        <v>11</v>
      </c>
      <c r="R148" s="1">
        <v>5.8</v>
      </c>
      <c r="S148">
        <v>50</v>
      </c>
      <c r="T148" s="1">
        <v>88.35</v>
      </c>
      <c r="U148" s="1">
        <v>55.1</v>
      </c>
      <c r="V148">
        <v>0</v>
      </c>
      <c r="W148" s="1">
        <v>0</v>
      </c>
      <c r="X148">
        <v>17</v>
      </c>
      <c r="Y148" s="1">
        <v>0</v>
      </c>
      <c r="Z148">
        <v>100</v>
      </c>
      <c r="AA148" s="1">
        <v>250.09</v>
      </c>
      <c r="AB148">
        <v>19</v>
      </c>
      <c r="AC148" s="1">
        <v>59.08</v>
      </c>
      <c r="AD148">
        <v>4</v>
      </c>
      <c r="AE148" s="1">
        <v>9.8000000000000007</v>
      </c>
      <c r="AF148" s="1">
        <v>0</v>
      </c>
      <c r="AG148" s="1">
        <v>0</v>
      </c>
      <c r="AH148" s="1">
        <v>0</v>
      </c>
      <c r="AI148" s="1">
        <v>0</v>
      </c>
      <c r="AJ148" s="1">
        <v>310.76</v>
      </c>
      <c r="AL148" s="1">
        <v>3880.35</v>
      </c>
      <c r="AM148" s="1">
        <v>0</v>
      </c>
      <c r="AN148" s="1">
        <v>609</v>
      </c>
      <c r="AO148" s="1">
        <v>0</v>
      </c>
      <c r="AP148" s="1">
        <v>-24.78</v>
      </c>
      <c r="AQ148">
        <v>90</v>
      </c>
      <c r="AR148" s="1">
        <v>595</v>
      </c>
      <c r="AS148">
        <v>295</v>
      </c>
      <c r="AT148" s="1">
        <v>1886.16</v>
      </c>
      <c r="AU148">
        <v>33</v>
      </c>
      <c r="AV148" s="1">
        <v>227.14</v>
      </c>
      <c r="AW148">
        <v>6</v>
      </c>
      <c r="AX148" s="1">
        <v>89.81</v>
      </c>
      <c r="AY148">
        <v>79</v>
      </c>
      <c r="AZ148" s="1">
        <v>378.52</v>
      </c>
      <c r="BE148">
        <v>16</v>
      </c>
      <c r="BF148" s="1">
        <v>80.63</v>
      </c>
      <c r="BG148">
        <v>6</v>
      </c>
      <c r="BH148" s="1">
        <v>57.39</v>
      </c>
      <c r="BK148">
        <v>11</v>
      </c>
      <c r="BL148" s="1">
        <v>89.93</v>
      </c>
      <c r="BM148">
        <v>1</v>
      </c>
      <c r="BN148" s="1">
        <v>66.67</v>
      </c>
      <c r="BO148" s="1">
        <v>61.73</v>
      </c>
      <c r="BP148">
        <v>2</v>
      </c>
      <c r="BQ148" s="1">
        <v>12.54</v>
      </c>
      <c r="BR148" s="1">
        <v>11.61</v>
      </c>
      <c r="BZ148">
        <v>1</v>
      </c>
      <c r="CA148">
        <v>6</v>
      </c>
      <c r="CB148" s="1">
        <v>73.540000000000006</v>
      </c>
      <c r="CG148">
        <v>147</v>
      </c>
      <c r="CH148">
        <v>147</v>
      </c>
    </row>
    <row r="149" spans="1:86" x14ac:dyDescent="0.35">
      <c r="A149">
        <v>352613</v>
      </c>
      <c r="B149" s="2">
        <v>44209</v>
      </c>
      <c r="C149" s="2">
        <v>44209</v>
      </c>
      <c r="D149">
        <v>108</v>
      </c>
      <c r="E149">
        <v>376.32000000000005</v>
      </c>
      <c r="F149">
        <v>1689.23</v>
      </c>
      <c r="G149">
        <v>462.13</v>
      </c>
      <c r="H149">
        <v>618.82000000000005</v>
      </c>
      <c r="I149">
        <v>190.01</v>
      </c>
      <c r="J149">
        <v>3096.39</v>
      </c>
      <c r="K149">
        <v>206.4</v>
      </c>
      <c r="L149">
        <v>603</v>
      </c>
      <c r="M149">
        <v>206.4</v>
      </c>
      <c r="N149">
        <v>3243.42</v>
      </c>
      <c r="O149">
        <v>7</v>
      </c>
      <c r="P149">
        <v>7.46</v>
      </c>
      <c r="R149">
        <v>147.03</v>
      </c>
      <c r="V149">
        <v>3</v>
      </c>
      <c r="W149">
        <v>60</v>
      </c>
      <c r="X149">
        <v>0</v>
      </c>
      <c r="Y149">
        <v>0</v>
      </c>
      <c r="Z149">
        <v>114</v>
      </c>
      <c r="AA149">
        <v>947.9</v>
      </c>
      <c r="AB149">
        <v>13</v>
      </c>
      <c r="AC149">
        <v>352.15</v>
      </c>
      <c r="AD149">
        <v>128</v>
      </c>
      <c r="AE149">
        <v>162.84</v>
      </c>
      <c r="AH149">
        <v>0</v>
      </c>
      <c r="AJ149">
        <v>264.52999999999997</v>
      </c>
      <c r="AN149">
        <v>896</v>
      </c>
      <c r="AO149">
        <v>5.3</v>
      </c>
      <c r="AP149">
        <v>-0.57000000000005002</v>
      </c>
      <c r="AQ149">
        <v>99</v>
      </c>
      <c r="AR149">
        <v>618.57000000000005</v>
      </c>
      <c r="AS149">
        <v>230</v>
      </c>
      <c r="AT149">
        <v>1472.18</v>
      </c>
      <c r="AU149">
        <v>15</v>
      </c>
      <c r="AV149">
        <v>156.09</v>
      </c>
      <c r="AW149">
        <v>4</v>
      </c>
      <c r="AX149">
        <v>28.05</v>
      </c>
      <c r="AY149">
        <v>64</v>
      </c>
      <c r="AZ149">
        <v>322.2</v>
      </c>
      <c r="BP149">
        <v>8</v>
      </c>
      <c r="BQ149">
        <v>94</v>
      </c>
      <c r="BR149">
        <v>73.17</v>
      </c>
      <c r="BS149">
        <v>3309.96</v>
      </c>
      <c r="BV149">
        <v>-1.5199999999999818</v>
      </c>
      <c r="BW149">
        <v>6.22</v>
      </c>
      <c r="BZ149">
        <v>1</v>
      </c>
      <c r="CA149">
        <v>3</v>
      </c>
      <c r="CB149">
        <v>42.1</v>
      </c>
      <c r="CG149">
        <v>148</v>
      </c>
      <c r="CH149">
        <v>148</v>
      </c>
    </row>
    <row r="150" spans="1:86" x14ac:dyDescent="0.35">
      <c r="A150">
        <v>357150</v>
      </c>
      <c r="B150" s="2">
        <v>44209</v>
      </c>
      <c r="C150" s="2">
        <v>44209</v>
      </c>
      <c r="D150">
        <v>140</v>
      </c>
      <c r="E150">
        <v>513.5</v>
      </c>
      <c r="F150">
        <v>1545.8200000000004</v>
      </c>
      <c r="G150">
        <v>435.22</v>
      </c>
      <c r="H150">
        <v>395.67</v>
      </c>
      <c r="I150">
        <v>85.55</v>
      </c>
      <c r="J150">
        <v>2649.1699999999996</v>
      </c>
      <c r="K150">
        <v>177.82000000000002</v>
      </c>
      <c r="L150">
        <v>474</v>
      </c>
      <c r="M150">
        <v>179.60000000000002</v>
      </c>
      <c r="N150">
        <v>2740.0799999999995</v>
      </c>
      <c r="O150">
        <v>0</v>
      </c>
      <c r="P150">
        <v>0</v>
      </c>
      <c r="R150">
        <v>92.690000000000012</v>
      </c>
      <c r="V150">
        <v>1</v>
      </c>
      <c r="W150">
        <v>10</v>
      </c>
      <c r="X150">
        <v>0</v>
      </c>
      <c r="Y150">
        <v>0</v>
      </c>
      <c r="Z150">
        <v>32</v>
      </c>
      <c r="AA150">
        <v>90.33</v>
      </c>
      <c r="AB150">
        <v>2</v>
      </c>
      <c r="AC150">
        <v>0</v>
      </c>
      <c r="AD150">
        <v>11</v>
      </c>
      <c r="AE150">
        <v>21.48</v>
      </c>
      <c r="AH150">
        <v>0</v>
      </c>
      <c r="AJ150">
        <v>226.38</v>
      </c>
      <c r="AN150">
        <v>0</v>
      </c>
      <c r="AO150">
        <v>0</v>
      </c>
      <c r="AP150">
        <v>-961.98</v>
      </c>
      <c r="AQ150">
        <v>75</v>
      </c>
      <c r="AR150">
        <v>479.87</v>
      </c>
      <c r="AS150">
        <v>179</v>
      </c>
      <c r="AT150">
        <v>1191.54</v>
      </c>
      <c r="AU150">
        <v>14</v>
      </c>
      <c r="AV150">
        <v>130.91999999999999</v>
      </c>
      <c r="AW150">
        <v>4</v>
      </c>
      <c r="AX150">
        <v>23.1</v>
      </c>
      <c r="AY150">
        <v>61</v>
      </c>
      <c r="AZ150">
        <v>275.95999999999998</v>
      </c>
      <c r="BS150">
        <v>2826.99</v>
      </c>
      <c r="BV150">
        <v>0</v>
      </c>
      <c r="BW150">
        <v>0</v>
      </c>
      <c r="BZ150">
        <v>1</v>
      </c>
      <c r="CG150">
        <v>149</v>
      </c>
      <c r="CH150">
        <v>149</v>
      </c>
    </row>
    <row r="151" spans="1:86" x14ac:dyDescent="0.35">
      <c r="A151">
        <v>358682</v>
      </c>
      <c r="B151" s="2">
        <v>44209</v>
      </c>
      <c r="C151" s="2">
        <v>44209</v>
      </c>
      <c r="D151">
        <v>85</v>
      </c>
      <c r="E151">
        <v>271.14999999999998</v>
      </c>
      <c r="F151">
        <v>1120.8399999999999</v>
      </c>
      <c r="G151">
        <v>269.93</v>
      </c>
      <c r="H151">
        <v>710.17</v>
      </c>
      <c r="I151">
        <v>71.209999999999994</v>
      </c>
      <c r="J151">
        <v>2156.0500000000002</v>
      </c>
      <c r="K151">
        <v>82.97</v>
      </c>
      <c r="L151">
        <v>368</v>
      </c>
      <c r="M151">
        <v>89.22</v>
      </c>
      <c r="N151">
        <v>2277.9100000000003</v>
      </c>
      <c r="O151">
        <v>2</v>
      </c>
      <c r="P151">
        <v>3.78</v>
      </c>
      <c r="R151">
        <v>128.11000000000001</v>
      </c>
      <c r="V151">
        <v>0</v>
      </c>
      <c r="W151">
        <v>0</v>
      </c>
      <c r="X151">
        <v>0</v>
      </c>
      <c r="Y151">
        <v>0</v>
      </c>
      <c r="Z151">
        <v>36</v>
      </c>
      <c r="AA151">
        <v>126.44</v>
      </c>
      <c r="AB151">
        <v>4</v>
      </c>
      <c r="AC151">
        <v>15.91</v>
      </c>
      <c r="AD151">
        <v>48</v>
      </c>
      <c r="AE151">
        <v>64.09</v>
      </c>
      <c r="AH151">
        <v>0</v>
      </c>
      <c r="AJ151">
        <v>198.63</v>
      </c>
      <c r="AN151">
        <v>453.85</v>
      </c>
      <c r="AO151">
        <v>0</v>
      </c>
      <c r="AP151">
        <v>-3.7799999999999727</v>
      </c>
      <c r="AQ151">
        <v>40</v>
      </c>
      <c r="AR151">
        <v>289.02</v>
      </c>
      <c r="AS151">
        <v>165</v>
      </c>
      <c r="AT151">
        <v>1098.0899999999999</v>
      </c>
      <c r="AU151">
        <v>25</v>
      </c>
      <c r="AV151">
        <v>196.47</v>
      </c>
      <c r="AW151">
        <v>6</v>
      </c>
      <c r="AX151">
        <v>34.58</v>
      </c>
      <c r="AY151">
        <v>41</v>
      </c>
      <c r="AZ151">
        <v>178.08</v>
      </c>
      <c r="BM151">
        <v>1</v>
      </c>
      <c r="BN151">
        <v>25.43</v>
      </c>
      <c r="BP151">
        <v>3</v>
      </c>
      <c r="BQ151">
        <v>51.27</v>
      </c>
      <c r="BR151">
        <v>47.08</v>
      </c>
      <c r="BS151">
        <v>2233.04</v>
      </c>
      <c r="BV151">
        <v>6.5100000000002183</v>
      </c>
      <c r="BW151">
        <v>0</v>
      </c>
      <c r="BZ151">
        <v>1</v>
      </c>
      <c r="CA151">
        <v>5</v>
      </c>
      <c r="CB151">
        <v>100.57</v>
      </c>
      <c r="CG151">
        <v>150</v>
      </c>
      <c r="CH151">
        <v>150</v>
      </c>
    </row>
    <row r="152" spans="1:86" x14ac:dyDescent="0.35">
      <c r="A152">
        <v>359606</v>
      </c>
      <c r="B152" s="2">
        <v>44209</v>
      </c>
      <c r="C152" s="2">
        <v>44209</v>
      </c>
      <c r="D152">
        <v>41</v>
      </c>
      <c r="E152">
        <v>131.79000000000002</v>
      </c>
      <c r="F152">
        <v>472.37</v>
      </c>
      <c r="G152">
        <v>134.31</v>
      </c>
      <c r="H152">
        <v>371.04</v>
      </c>
      <c r="I152">
        <v>45.910000000000004</v>
      </c>
      <c r="J152">
        <v>1043.8400000000001</v>
      </c>
      <c r="K152">
        <v>23.94</v>
      </c>
      <c r="L152">
        <v>197</v>
      </c>
      <c r="M152">
        <v>27.240000000000002</v>
      </c>
      <c r="N152">
        <v>1094.46</v>
      </c>
      <c r="O152">
        <v>0</v>
      </c>
      <c r="P152">
        <v>0</v>
      </c>
      <c r="R152">
        <v>53.919999999999995</v>
      </c>
      <c r="V152">
        <v>1</v>
      </c>
      <c r="W152">
        <v>30</v>
      </c>
      <c r="X152">
        <v>0</v>
      </c>
      <c r="Y152">
        <v>0</v>
      </c>
      <c r="Z152">
        <v>25</v>
      </c>
      <c r="AA152">
        <v>51.15</v>
      </c>
      <c r="AB152">
        <v>3</v>
      </c>
      <c r="AC152">
        <v>11.36</v>
      </c>
      <c r="AD152">
        <v>0</v>
      </c>
      <c r="AE152">
        <v>0</v>
      </c>
      <c r="AH152">
        <v>0</v>
      </c>
      <c r="AJ152">
        <v>94.97</v>
      </c>
      <c r="AN152">
        <v>125</v>
      </c>
      <c r="AO152">
        <v>5.0599999999999996</v>
      </c>
      <c r="AP152">
        <v>-3.9999999999992042E-2</v>
      </c>
      <c r="AQ152">
        <v>22</v>
      </c>
      <c r="AR152">
        <v>206.35</v>
      </c>
      <c r="AS152">
        <v>94</v>
      </c>
      <c r="AT152">
        <v>604.83000000000004</v>
      </c>
      <c r="AU152">
        <v>14</v>
      </c>
      <c r="AV152">
        <v>67.180000000000007</v>
      </c>
      <c r="AW152">
        <v>2</v>
      </c>
      <c r="AX152">
        <v>18.02</v>
      </c>
      <c r="AY152">
        <v>28</v>
      </c>
      <c r="AZ152">
        <v>141.32</v>
      </c>
      <c r="BP152">
        <v>1</v>
      </c>
      <c r="BQ152">
        <v>10.53</v>
      </c>
      <c r="BR152">
        <v>9.67</v>
      </c>
      <c r="BS152">
        <v>1067.78</v>
      </c>
      <c r="BV152">
        <v>9.5199999999999818</v>
      </c>
      <c r="BW152">
        <v>9.52</v>
      </c>
      <c r="BZ152">
        <v>1</v>
      </c>
      <c r="CA152">
        <v>3</v>
      </c>
      <c r="CB152">
        <v>14.42</v>
      </c>
      <c r="CG152">
        <v>151</v>
      </c>
      <c r="CH152">
        <v>151</v>
      </c>
    </row>
    <row r="153" spans="1:86" x14ac:dyDescent="0.35">
      <c r="A153">
        <v>350432</v>
      </c>
      <c r="B153" s="2">
        <v>44206</v>
      </c>
      <c r="C153" s="2">
        <v>44212</v>
      </c>
      <c r="D153">
        <v>1192</v>
      </c>
      <c r="E153" s="1">
        <v>3892.66</v>
      </c>
      <c r="F153" s="1">
        <v>13390.27</v>
      </c>
      <c r="G153" s="1">
        <v>3997.76</v>
      </c>
      <c r="H153" s="1">
        <v>6461.58</v>
      </c>
      <c r="I153" s="1">
        <v>975.35</v>
      </c>
      <c r="J153" s="1">
        <v>26824.49</v>
      </c>
      <c r="K153" s="1">
        <v>3694.95</v>
      </c>
      <c r="L153">
        <v>5093</v>
      </c>
      <c r="M153" s="1">
        <v>3748.01</v>
      </c>
      <c r="N153" s="1">
        <v>27733.439999999999</v>
      </c>
      <c r="O153">
        <v>7</v>
      </c>
      <c r="P153" s="1">
        <v>39.1</v>
      </c>
      <c r="Q153">
        <v>77</v>
      </c>
      <c r="R153" s="1">
        <v>70.28</v>
      </c>
      <c r="S153">
        <v>314</v>
      </c>
      <c r="T153" s="1">
        <v>532.79</v>
      </c>
      <c r="U153" s="1">
        <v>319.83999999999997</v>
      </c>
      <c r="V153">
        <v>5</v>
      </c>
      <c r="W153" s="1">
        <v>55</v>
      </c>
      <c r="X153">
        <v>124</v>
      </c>
      <c r="Y153" s="1">
        <v>0</v>
      </c>
      <c r="Z153">
        <v>1060</v>
      </c>
      <c r="AA153" s="1">
        <v>3468.25</v>
      </c>
      <c r="AB153">
        <v>162</v>
      </c>
      <c r="AC153" s="1">
        <v>427.37</v>
      </c>
      <c r="AD153">
        <v>23</v>
      </c>
      <c r="AE153" s="1">
        <v>78.52</v>
      </c>
      <c r="AF153" s="1">
        <v>0</v>
      </c>
      <c r="AG153" s="1">
        <v>0</v>
      </c>
      <c r="AH153" s="1">
        <v>0</v>
      </c>
      <c r="AI153" s="1">
        <v>0</v>
      </c>
      <c r="AJ153" s="1">
        <v>1125.83</v>
      </c>
      <c r="AL153" s="1">
        <v>30519.439999999999</v>
      </c>
      <c r="AM153" s="1">
        <v>0</v>
      </c>
      <c r="AN153" s="1">
        <v>2577</v>
      </c>
      <c r="AO153" s="1">
        <v>22.51</v>
      </c>
      <c r="AP153" s="1">
        <v>-120.5</v>
      </c>
      <c r="AQ153">
        <v>658</v>
      </c>
      <c r="AR153" s="1">
        <v>4726.5600000000004</v>
      </c>
      <c r="AS153">
        <v>2155</v>
      </c>
      <c r="AT153" s="1">
        <v>14625.54</v>
      </c>
      <c r="AU153">
        <v>232</v>
      </c>
      <c r="AV153" s="1">
        <v>1995.99</v>
      </c>
      <c r="AW153">
        <v>67</v>
      </c>
      <c r="AX153" s="1">
        <v>418.5</v>
      </c>
      <c r="AY153">
        <v>483</v>
      </c>
      <c r="AZ153" s="1">
        <v>2315.25</v>
      </c>
      <c r="BA153">
        <v>7</v>
      </c>
      <c r="BB153" s="1">
        <v>20.27</v>
      </c>
      <c r="BC153">
        <v>15</v>
      </c>
      <c r="BD153" s="1">
        <v>33.549999999999997</v>
      </c>
      <c r="BE153">
        <v>110</v>
      </c>
      <c r="BF153" s="1">
        <v>235.23</v>
      </c>
      <c r="BG153">
        <v>25</v>
      </c>
      <c r="BH153" s="1">
        <v>34.39</v>
      </c>
      <c r="BK153">
        <v>62</v>
      </c>
      <c r="BL153" s="1">
        <v>149.22</v>
      </c>
      <c r="BO153" s="1">
        <v>13.36</v>
      </c>
      <c r="BP153">
        <v>101</v>
      </c>
      <c r="BQ153" s="1">
        <v>677.66</v>
      </c>
      <c r="BR153" s="1">
        <v>1190.1400000000001</v>
      </c>
      <c r="CA153">
        <v>36</v>
      </c>
      <c r="CB153" s="1">
        <v>211.02</v>
      </c>
      <c r="CG153">
        <v>152</v>
      </c>
      <c r="CH153">
        <v>152</v>
      </c>
    </row>
    <row r="154" spans="1:86" x14ac:dyDescent="0.35">
      <c r="A154">
        <v>350437</v>
      </c>
      <c r="B154" s="2">
        <v>44206</v>
      </c>
      <c r="C154" s="2">
        <v>44212</v>
      </c>
      <c r="D154">
        <v>685</v>
      </c>
      <c r="E154" s="1">
        <v>2238.7800000000002</v>
      </c>
      <c r="F154" s="1">
        <v>8141.06</v>
      </c>
      <c r="G154" s="1">
        <v>3244.41</v>
      </c>
      <c r="H154" s="1">
        <v>4453.97</v>
      </c>
      <c r="I154" s="1">
        <v>607.45000000000005</v>
      </c>
      <c r="J154" s="1">
        <v>17618.830000000002</v>
      </c>
      <c r="K154" s="1">
        <v>0</v>
      </c>
      <c r="L154">
        <v>3032</v>
      </c>
      <c r="M154" s="1">
        <v>0</v>
      </c>
      <c r="N154" s="1">
        <v>18212.66</v>
      </c>
      <c r="O154">
        <v>4</v>
      </c>
      <c r="P154" s="1">
        <v>56.06</v>
      </c>
      <c r="Q154">
        <v>52</v>
      </c>
      <c r="R154" s="1">
        <v>34.58</v>
      </c>
      <c r="S154">
        <v>125</v>
      </c>
      <c r="T154" s="1">
        <v>261.69</v>
      </c>
      <c r="U154" s="1">
        <v>241.5</v>
      </c>
      <c r="V154">
        <v>3</v>
      </c>
      <c r="W154" s="1">
        <v>45</v>
      </c>
      <c r="X154">
        <v>86</v>
      </c>
      <c r="Y154" s="1">
        <v>0</v>
      </c>
      <c r="Z154">
        <v>400</v>
      </c>
      <c r="AA154" s="1">
        <v>1148.0999999999999</v>
      </c>
      <c r="AB154">
        <v>23</v>
      </c>
      <c r="AC154" s="1">
        <v>54.05</v>
      </c>
      <c r="AD154">
        <v>12</v>
      </c>
      <c r="AE154" s="1">
        <v>26.23</v>
      </c>
      <c r="AF154" s="1">
        <v>0</v>
      </c>
      <c r="AG154" s="1">
        <v>0</v>
      </c>
      <c r="AH154" s="1">
        <v>0</v>
      </c>
      <c r="AI154" s="1">
        <v>0</v>
      </c>
      <c r="AJ154" s="1">
        <v>806.66</v>
      </c>
      <c r="AL154" s="1">
        <v>17618.830000000002</v>
      </c>
      <c r="AM154" s="1">
        <v>0</v>
      </c>
      <c r="AN154" s="1">
        <v>1582</v>
      </c>
      <c r="AO154" s="1">
        <v>0</v>
      </c>
      <c r="AP154" s="1">
        <v>9.25</v>
      </c>
      <c r="AQ154">
        <v>323</v>
      </c>
      <c r="AR154" s="1">
        <v>2317.36</v>
      </c>
      <c r="AS154">
        <v>1267</v>
      </c>
      <c r="AT154" s="1">
        <v>8350.64</v>
      </c>
      <c r="AU154">
        <v>291</v>
      </c>
      <c r="AV154" s="1">
        <v>2040.72</v>
      </c>
      <c r="AW154">
        <v>40</v>
      </c>
      <c r="AX154" s="1">
        <v>265.39999999999998</v>
      </c>
      <c r="AY154">
        <v>309</v>
      </c>
      <c r="AZ154" s="1">
        <v>1442.03</v>
      </c>
      <c r="BA154">
        <v>5</v>
      </c>
      <c r="BB154" s="1">
        <v>12.04</v>
      </c>
      <c r="BC154">
        <v>4</v>
      </c>
      <c r="BD154" s="1">
        <v>24.68</v>
      </c>
      <c r="BE154">
        <v>77</v>
      </c>
      <c r="BF154" s="1">
        <v>254.63</v>
      </c>
      <c r="BG154">
        <v>11</v>
      </c>
      <c r="BH154" s="1">
        <v>4.33</v>
      </c>
      <c r="BK154">
        <v>39</v>
      </c>
      <c r="BL154" s="1">
        <v>113.57</v>
      </c>
      <c r="BO154" s="1">
        <v>1.19</v>
      </c>
      <c r="BP154">
        <v>45</v>
      </c>
      <c r="BQ154" s="1">
        <v>301.19</v>
      </c>
      <c r="BR154" s="1">
        <v>607.45000000000005</v>
      </c>
      <c r="CA154">
        <v>27</v>
      </c>
      <c r="CB154" s="1">
        <v>177.16</v>
      </c>
      <c r="CG154">
        <v>153</v>
      </c>
      <c r="CH154">
        <v>153</v>
      </c>
    </row>
    <row r="155" spans="1:86" x14ac:dyDescent="0.35">
      <c r="A155">
        <v>351323</v>
      </c>
      <c r="B155" s="2">
        <v>44206</v>
      </c>
      <c r="C155" s="2">
        <v>44212</v>
      </c>
      <c r="D155">
        <v>1024</v>
      </c>
      <c r="E155" s="1">
        <v>3443.97</v>
      </c>
      <c r="F155" s="1">
        <v>11620.65</v>
      </c>
      <c r="G155" s="1">
        <v>3705.44</v>
      </c>
      <c r="H155" s="1">
        <v>5144.57</v>
      </c>
      <c r="I155" s="1">
        <v>833.47</v>
      </c>
      <c r="J155" s="1">
        <v>22711.61</v>
      </c>
      <c r="K155" s="1">
        <v>2264.1</v>
      </c>
      <c r="L155">
        <v>4359</v>
      </c>
      <c r="M155" s="1">
        <v>2291.87</v>
      </c>
      <c r="N155" s="1">
        <v>23664.080000000002</v>
      </c>
      <c r="O155">
        <v>6</v>
      </c>
      <c r="P155" s="1">
        <v>49.44</v>
      </c>
      <c r="Q155">
        <v>33</v>
      </c>
      <c r="R155" s="1">
        <v>9.76</v>
      </c>
      <c r="S155">
        <v>357</v>
      </c>
      <c r="T155" s="1">
        <v>615.66</v>
      </c>
      <c r="U155" s="1">
        <v>305.38</v>
      </c>
      <c r="V155">
        <v>4</v>
      </c>
      <c r="W155" s="1">
        <v>60</v>
      </c>
      <c r="X155">
        <v>81</v>
      </c>
      <c r="Y155" s="1">
        <v>0</v>
      </c>
      <c r="Z155">
        <v>680</v>
      </c>
      <c r="AA155" s="1">
        <v>2377.4299999999998</v>
      </c>
      <c r="AB155">
        <v>130</v>
      </c>
      <c r="AC155" s="1">
        <v>358.92</v>
      </c>
      <c r="AD155">
        <v>45</v>
      </c>
      <c r="AE155" s="1">
        <v>164.97</v>
      </c>
      <c r="AF155" s="1">
        <v>0</v>
      </c>
      <c r="AG155" s="1">
        <v>0</v>
      </c>
      <c r="AH155" s="1">
        <v>0</v>
      </c>
      <c r="AI155" s="1">
        <v>0</v>
      </c>
      <c r="AJ155" s="1">
        <v>1259.75</v>
      </c>
      <c r="AL155" s="1">
        <v>24975.71</v>
      </c>
      <c r="AM155" s="1">
        <v>0</v>
      </c>
      <c r="AN155" s="1">
        <v>3979.2</v>
      </c>
      <c r="AO155" s="1">
        <v>33</v>
      </c>
      <c r="AP155" s="1">
        <v>-16.3</v>
      </c>
      <c r="AQ155">
        <v>636</v>
      </c>
      <c r="AR155" s="1">
        <v>4170.91</v>
      </c>
      <c r="AS155">
        <v>1868</v>
      </c>
      <c r="AT155" s="1">
        <v>12363.77</v>
      </c>
      <c r="AU155">
        <v>82</v>
      </c>
      <c r="AV155" s="1">
        <v>575.74</v>
      </c>
      <c r="AW155">
        <v>57</v>
      </c>
      <c r="AX155" s="1">
        <v>358.06</v>
      </c>
      <c r="AY155">
        <v>581</v>
      </c>
      <c r="AZ155" s="1">
        <v>2453.4699999999998</v>
      </c>
      <c r="BA155">
        <v>4</v>
      </c>
      <c r="BB155" s="1">
        <v>16.47</v>
      </c>
      <c r="BC155">
        <v>4</v>
      </c>
      <c r="BD155" s="1">
        <v>38.090000000000003</v>
      </c>
      <c r="BE155">
        <v>83</v>
      </c>
      <c r="BF155" s="1">
        <v>442.08</v>
      </c>
      <c r="BG155">
        <v>24</v>
      </c>
      <c r="BH155" s="1">
        <v>101.31</v>
      </c>
      <c r="BI155">
        <v>1</v>
      </c>
      <c r="BJ155" s="1">
        <v>26.49</v>
      </c>
      <c r="BK155">
        <v>40</v>
      </c>
      <c r="BL155" s="1">
        <v>295.47000000000003</v>
      </c>
      <c r="BM155">
        <v>7</v>
      </c>
      <c r="BN155" s="1">
        <v>35.6</v>
      </c>
      <c r="BO155" s="1">
        <v>63.1</v>
      </c>
      <c r="BP155">
        <v>33</v>
      </c>
      <c r="BQ155" s="1">
        <v>356.1</v>
      </c>
      <c r="BR155" s="1">
        <v>379.77</v>
      </c>
      <c r="CA155">
        <v>18</v>
      </c>
      <c r="CB155" s="1">
        <v>202.94</v>
      </c>
      <c r="CG155">
        <v>154</v>
      </c>
      <c r="CH155">
        <v>154</v>
      </c>
    </row>
    <row r="156" spans="1:86" x14ac:dyDescent="0.35">
      <c r="A156">
        <v>353927</v>
      </c>
      <c r="B156" s="2">
        <v>44206</v>
      </c>
      <c r="C156" s="2">
        <v>44212</v>
      </c>
      <c r="D156">
        <v>1083</v>
      </c>
      <c r="E156" s="1">
        <v>3562.25</v>
      </c>
      <c r="F156" s="1">
        <v>11907.35</v>
      </c>
      <c r="G156" s="1">
        <v>4478.8900000000003</v>
      </c>
      <c r="H156" s="1">
        <v>5551.6</v>
      </c>
      <c r="I156" s="1">
        <v>789.08</v>
      </c>
      <c r="J156" s="1">
        <v>24066.5</v>
      </c>
      <c r="K156" s="1">
        <v>0</v>
      </c>
      <c r="L156">
        <v>4004</v>
      </c>
      <c r="M156" s="1">
        <v>0</v>
      </c>
      <c r="N156" s="1">
        <v>25061.15</v>
      </c>
      <c r="O156">
        <v>6</v>
      </c>
      <c r="P156" s="1">
        <v>65.290000000000006</v>
      </c>
      <c r="Q156">
        <v>33</v>
      </c>
      <c r="R156" s="1">
        <v>40.479999999999997</v>
      </c>
      <c r="S156">
        <v>365</v>
      </c>
      <c r="T156" s="1">
        <v>595.70000000000005</v>
      </c>
      <c r="U156" s="1">
        <v>293.18</v>
      </c>
      <c r="V156">
        <v>3</v>
      </c>
      <c r="W156" s="1">
        <v>35</v>
      </c>
      <c r="X156">
        <v>88</v>
      </c>
      <c r="Y156" s="1">
        <v>0</v>
      </c>
      <c r="Z156">
        <v>673</v>
      </c>
      <c r="AA156" s="1">
        <v>1881.73</v>
      </c>
      <c r="AB156">
        <v>65</v>
      </c>
      <c r="AC156" s="1">
        <v>200.51</v>
      </c>
      <c r="AD156">
        <v>19</v>
      </c>
      <c r="AE156" s="1">
        <v>24.41</v>
      </c>
      <c r="AF156" s="1">
        <v>1</v>
      </c>
      <c r="AG156" s="1">
        <v>1</v>
      </c>
      <c r="AH156" s="1">
        <v>0</v>
      </c>
      <c r="AI156" s="1">
        <v>0</v>
      </c>
      <c r="AJ156" s="1">
        <v>1443.15</v>
      </c>
      <c r="AL156" s="1">
        <v>24066.5</v>
      </c>
      <c r="AM156" s="1">
        <v>1</v>
      </c>
      <c r="AN156" s="1">
        <v>5562.88</v>
      </c>
      <c r="AO156" s="1">
        <v>23.34</v>
      </c>
      <c r="AP156" s="1">
        <v>-18.46</v>
      </c>
      <c r="AQ156">
        <v>537</v>
      </c>
      <c r="AR156" s="1">
        <v>3770.62</v>
      </c>
      <c r="AS156">
        <v>1745</v>
      </c>
      <c r="AT156" s="1">
        <v>11814.89</v>
      </c>
      <c r="AU156">
        <v>57</v>
      </c>
      <c r="AV156" s="1">
        <v>430.97</v>
      </c>
      <c r="AW156">
        <v>34</v>
      </c>
      <c r="AX156" s="1">
        <v>235.54</v>
      </c>
      <c r="AY156">
        <v>411</v>
      </c>
      <c r="AZ156" s="1">
        <v>1765.97</v>
      </c>
      <c r="BA156">
        <v>3</v>
      </c>
      <c r="BB156" s="1">
        <v>11.94</v>
      </c>
      <c r="BC156">
        <v>1</v>
      </c>
      <c r="BD156" s="1">
        <v>3.91</v>
      </c>
      <c r="BE156">
        <v>96</v>
      </c>
      <c r="BF156" s="1">
        <v>529.54999999999995</v>
      </c>
      <c r="BG156">
        <v>12</v>
      </c>
      <c r="BH156" s="1">
        <v>149.83000000000001</v>
      </c>
      <c r="BK156">
        <v>40</v>
      </c>
      <c r="BL156" s="1">
        <v>283.19</v>
      </c>
      <c r="BM156">
        <v>1</v>
      </c>
      <c r="BN156" s="1">
        <v>7.29</v>
      </c>
      <c r="BO156" s="1">
        <v>6.88</v>
      </c>
      <c r="BP156">
        <v>42</v>
      </c>
      <c r="BQ156" s="1">
        <v>574.16</v>
      </c>
      <c r="BR156" s="1">
        <v>540.47</v>
      </c>
      <c r="CA156">
        <v>35</v>
      </c>
      <c r="CB156" s="1">
        <v>363.11</v>
      </c>
      <c r="CG156">
        <v>155</v>
      </c>
      <c r="CH156">
        <v>155</v>
      </c>
    </row>
    <row r="157" spans="1:86" x14ac:dyDescent="0.35">
      <c r="A157">
        <v>354030</v>
      </c>
      <c r="B157" s="2">
        <v>44206</v>
      </c>
      <c r="C157" s="2">
        <v>44212</v>
      </c>
      <c r="D157">
        <v>947</v>
      </c>
      <c r="E157" s="1">
        <v>3196.54</v>
      </c>
      <c r="F157" s="1">
        <v>10268.120000000001</v>
      </c>
      <c r="G157" s="1">
        <v>4696.57</v>
      </c>
      <c r="H157" s="1">
        <v>4104.8900000000003</v>
      </c>
      <c r="I157" s="1">
        <v>820.34</v>
      </c>
      <c r="J157" s="1">
        <v>21028.02</v>
      </c>
      <c r="K157" s="1">
        <v>1104.06</v>
      </c>
      <c r="L157">
        <v>3517</v>
      </c>
      <c r="M157" s="1">
        <v>1115.6300000000001</v>
      </c>
      <c r="N157" s="1">
        <v>21951.52</v>
      </c>
      <c r="O157">
        <v>4</v>
      </c>
      <c r="P157" s="1">
        <v>21.95</v>
      </c>
      <c r="Q157">
        <v>27</v>
      </c>
      <c r="R157" s="1">
        <v>10.41</v>
      </c>
      <c r="S157">
        <v>234</v>
      </c>
      <c r="T157" s="1">
        <v>502.98</v>
      </c>
      <c r="U157" s="1">
        <v>399.73</v>
      </c>
      <c r="V157">
        <v>9</v>
      </c>
      <c r="W157" s="1">
        <v>150</v>
      </c>
      <c r="X157">
        <v>64</v>
      </c>
      <c r="Y157" s="1">
        <v>0</v>
      </c>
      <c r="Z157">
        <v>514</v>
      </c>
      <c r="AA157" s="1">
        <v>1448.01</v>
      </c>
      <c r="AB157">
        <v>64</v>
      </c>
      <c r="AC157" s="1">
        <v>165.7</v>
      </c>
      <c r="AD157">
        <v>22</v>
      </c>
      <c r="AE157" s="1">
        <v>65.41</v>
      </c>
      <c r="AF157" s="1">
        <v>0</v>
      </c>
      <c r="AG157" s="1">
        <v>0</v>
      </c>
      <c r="AH157" s="1">
        <v>0</v>
      </c>
      <c r="AI157" s="1">
        <v>0</v>
      </c>
      <c r="AJ157" s="1">
        <v>874.83</v>
      </c>
      <c r="AL157" s="1">
        <v>22132.080000000002</v>
      </c>
      <c r="AM157" s="1">
        <v>0</v>
      </c>
      <c r="AN157" s="1">
        <v>2465</v>
      </c>
      <c r="AO157" s="1">
        <v>5.08</v>
      </c>
      <c r="AP157" s="1">
        <v>73.569999999999993</v>
      </c>
      <c r="AQ157">
        <v>498</v>
      </c>
      <c r="AR157" s="1">
        <v>3618.63</v>
      </c>
      <c r="AS157">
        <v>1410</v>
      </c>
      <c r="AT157" s="1">
        <v>10583.71</v>
      </c>
      <c r="AU157">
        <v>112</v>
      </c>
      <c r="AV157" s="1">
        <v>804.47</v>
      </c>
      <c r="AW157">
        <v>30</v>
      </c>
      <c r="AX157" s="1">
        <v>241.47</v>
      </c>
      <c r="AY157">
        <v>555</v>
      </c>
      <c r="AZ157" s="1">
        <v>2720.85</v>
      </c>
      <c r="BA157">
        <v>4</v>
      </c>
      <c r="BB157" s="1">
        <v>10.99</v>
      </c>
      <c r="BC157">
        <v>8</v>
      </c>
      <c r="BD157" s="1">
        <v>35.409999999999997</v>
      </c>
      <c r="BE157">
        <v>140</v>
      </c>
      <c r="BF157" s="1">
        <v>628.35</v>
      </c>
      <c r="BG157">
        <v>14</v>
      </c>
      <c r="BH157" s="1">
        <v>114.32</v>
      </c>
      <c r="BI157">
        <v>2</v>
      </c>
      <c r="BJ157" s="1">
        <v>73.12</v>
      </c>
      <c r="BK157">
        <v>64</v>
      </c>
      <c r="BL157" s="1">
        <v>344.01</v>
      </c>
      <c r="BM157">
        <v>5</v>
      </c>
      <c r="BN157" s="1">
        <v>22.88</v>
      </c>
      <c r="BO157" s="1">
        <v>26.07</v>
      </c>
      <c r="BR157" s="1">
        <v>103.87</v>
      </c>
      <c r="CA157">
        <v>32</v>
      </c>
      <c r="CB157" s="1">
        <v>317.3</v>
      </c>
      <c r="CG157">
        <v>156</v>
      </c>
      <c r="CH157">
        <v>156</v>
      </c>
    </row>
    <row r="158" spans="1:86" x14ac:dyDescent="0.35">
      <c r="A158">
        <v>355439</v>
      </c>
      <c r="B158" s="2">
        <v>44206</v>
      </c>
      <c r="C158" s="2">
        <v>44212</v>
      </c>
      <c r="D158">
        <v>1425</v>
      </c>
      <c r="E158" s="1">
        <v>4592.8500000000004</v>
      </c>
      <c r="F158" s="1">
        <v>13641.35</v>
      </c>
      <c r="G158" s="1">
        <v>5295.81</v>
      </c>
      <c r="H158" s="1">
        <v>5889.98</v>
      </c>
      <c r="I158" s="1">
        <v>999.14</v>
      </c>
      <c r="J158" s="1">
        <v>27510.61</v>
      </c>
      <c r="K158" s="1">
        <v>0</v>
      </c>
      <c r="L158">
        <v>4875</v>
      </c>
      <c r="M158" s="1">
        <v>0</v>
      </c>
      <c r="N158" s="1">
        <v>28568.95</v>
      </c>
      <c r="O158">
        <v>11</v>
      </c>
      <c r="P158" s="1">
        <v>67.63</v>
      </c>
      <c r="Q158">
        <v>72</v>
      </c>
      <c r="R158" s="1">
        <v>25.89</v>
      </c>
      <c r="S158">
        <v>336</v>
      </c>
      <c r="T158" s="1">
        <v>610.62</v>
      </c>
      <c r="U158" s="1">
        <v>354.2</v>
      </c>
      <c r="V158">
        <v>7</v>
      </c>
      <c r="W158" s="1">
        <v>95</v>
      </c>
      <c r="X158">
        <v>120</v>
      </c>
      <c r="Y158" s="1">
        <v>0</v>
      </c>
      <c r="Z158">
        <v>674</v>
      </c>
      <c r="AA158" s="1">
        <v>1791.36</v>
      </c>
      <c r="AB158">
        <v>97</v>
      </c>
      <c r="AC158" s="1">
        <v>279.99</v>
      </c>
      <c r="AD158">
        <v>26</v>
      </c>
      <c r="AE158" s="1">
        <v>99.79</v>
      </c>
      <c r="AF158" s="1">
        <v>0.1</v>
      </c>
      <c r="AG158" s="1">
        <v>0</v>
      </c>
      <c r="AH158" s="1">
        <v>0</v>
      </c>
      <c r="AI158" s="1">
        <v>0</v>
      </c>
      <c r="AJ158" s="1">
        <v>1558.51</v>
      </c>
      <c r="AL158" s="1">
        <v>27510.71</v>
      </c>
      <c r="AM158" s="1">
        <v>0</v>
      </c>
      <c r="AN158" s="1">
        <v>3330</v>
      </c>
      <c r="AO158" s="1">
        <v>0</v>
      </c>
      <c r="AP158" s="1">
        <v>-65.89</v>
      </c>
      <c r="AQ158">
        <v>661</v>
      </c>
      <c r="AR158" s="1">
        <v>4304.26</v>
      </c>
      <c r="AS158">
        <v>2082</v>
      </c>
      <c r="AT158" s="1">
        <v>13670.17</v>
      </c>
      <c r="AU158">
        <v>195</v>
      </c>
      <c r="AV158" s="1">
        <v>1611.6</v>
      </c>
      <c r="AW158">
        <v>55</v>
      </c>
      <c r="AX158" s="1">
        <v>436.67</v>
      </c>
      <c r="AY158">
        <v>499</v>
      </c>
      <c r="AZ158" s="1">
        <v>2312.37</v>
      </c>
      <c r="BA158">
        <v>10</v>
      </c>
      <c r="BB158" s="1">
        <v>40.75</v>
      </c>
      <c r="BC158">
        <v>19</v>
      </c>
      <c r="BD158" s="1">
        <v>167.31</v>
      </c>
      <c r="BE158">
        <v>131</v>
      </c>
      <c r="BF158" s="1">
        <v>575.64</v>
      </c>
      <c r="BG158">
        <v>30</v>
      </c>
      <c r="BH158" s="1">
        <v>169.7</v>
      </c>
      <c r="BK158">
        <v>88</v>
      </c>
      <c r="BL158" s="1">
        <v>410.55</v>
      </c>
      <c r="BM158">
        <v>4</v>
      </c>
      <c r="BN158" s="1">
        <v>96.29</v>
      </c>
      <c r="BO158" s="1">
        <v>99.33</v>
      </c>
      <c r="BP158">
        <v>18</v>
      </c>
      <c r="BQ158" s="1">
        <v>203.74</v>
      </c>
      <c r="BR158" s="1">
        <v>191.3</v>
      </c>
      <c r="CA158">
        <v>48</v>
      </c>
      <c r="CB158" s="1">
        <v>479.19</v>
      </c>
      <c r="CG158">
        <v>157</v>
      </c>
      <c r="CH158">
        <v>157</v>
      </c>
    </row>
    <row r="159" spans="1:86" x14ac:dyDescent="0.35">
      <c r="A159">
        <v>352613</v>
      </c>
      <c r="B159" s="2">
        <v>44206</v>
      </c>
      <c r="C159" s="2">
        <v>44212</v>
      </c>
      <c r="D159">
        <v>851</v>
      </c>
      <c r="E159">
        <v>3032.49</v>
      </c>
      <c r="F159">
        <v>12670.800000000001</v>
      </c>
      <c r="G159">
        <v>3953.67</v>
      </c>
      <c r="H159">
        <v>5414.02</v>
      </c>
      <c r="I159">
        <v>1298.6200000000001</v>
      </c>
      <c r="J159">
        <v>24150.14</v>
      </c>
      <c r="K159">
        <v>1730.42</v>
      </c>
      <c r="L159">
        <v>4447</v>
      </c>
      <c r="M159">
        <v>1766.49</v>
      </c>
      <c r="N159">
        <v>25154.55</v>
      </c>
      <c r="O159">
        <v>41</v>
      </c>
      <c r="P159">
        <v>65.180000000000007</v>
      </c>
      <c r="R159">
        <v>1040.48</v>
      </c>
      <c r="V159">
        <v>9</v>
      </c>
      <c r="W159">
        <v>180</v>
      </c>
      <c r="X159">
        <v>0</v>
      </c>
      <c r="Y159">
        <v>0</v>
      </c>
      <c r="Z159">
        <v>749</v>
      </c>
      <c r="AA159">
        <v>2195.09</v>
      </c>
      <c r="AB159">
        <v>87</v>
      </c>
      <c r="AC159">
        <v>1050.93</v>
      </c>
      <c r="AD159">
        <v>559</v>
      </c>
      <c r="AE159">
        <v>792.87</v>
      </c>
      <c r="AH159">
        <v>0</v>
      </c>
      <c r="AJ159">
        <v>2072.29</v>
      </c>
      <c r="AN159">
        <v>8435.2999999999993</v>
      </c>
      <c r="AO159">
        <v>141.44</v>
      </c>
      <c r="AP159">
        <v>1338.1799999999985</v>
      </c>
      <c r="AQ159">
        <v>567</v>
      </c>
      <c r="AR159">
        <v>3833.9</v>
      </c>
      <c r="AS159">
        <v>1798</v>
      </c>
      <c r="AT159">
        <v>12107.05</v>
      </c>
      <c r="AU159">
        <v>103</v>
      </c>
      <c r="AV159">
        <v>838.19</v>
      </c>
      <c r="AW159">
        <v>42</v>
      </c>
      <c r="AX159">
        <v>349.89</v>
      </c>
      <c r="AY159">
        <v>511</v>
      </c>
      <c r="AZ159">
        <v>2409.65</v>
      </c>
      <c r="BM159">
        <v>2</v>
      </c>
      <c r="BN159">
        <v>33.909999999999997</v>
      </c>
      <c r="BP159">
        <v>50</v>
      </c>
      <c r="BQ159">
        <v>611.14</v>
      </c>
      <c r="BR159">
        <v>439.9</v>
      </c>
      <c r="BS159">
        <v>25888.14</v>
      </c>
      <c r="BV159">
        <v>58.68999999999869</v>
      </c>
      <c r="BW159">
        <v>66.88</v>
      </c>
      <c r="CA159">
        <v>39</v>
      </c>
      <c r="CB159">
        <v>567.6</v>
      </c>
      <c r="CE159">
        <v>5</v>
      </c>
      <c r="CF159">
        <v>151.15</v>
      </c>
      <c r="CG159">
        <v>158</v>
      </c>
      <c r="CH159">
        <v>158</v>
      </c>
    </row>
    <row r="160" spans="1:86" x14ac:dyDescent="0.35">
      <c r="A160">
        <v>357150</v>
      </c>
      <c r="B160" s="2">
        <v>44206</v>
      </c>
      <c r="C160" s="2">
        <v>44212</v>
      </c>
      <c r="D160">
        <v>1038</v>
      </c>
      <c r="E160">
        <v>3846.12</v>
      </c>
      <c r="F160">
        <v>11450.06</v>
      </c>
      <c r="G160">
        <v>3153.61</v>
      </c>
      <c r="H160">
        <v>3385.14</v>
      </c>
      <c r="I160">
        <v>661.71999999999991</v>
      </c>
      <c r="J160">
        <v>19807.960000000003</v>
      </c>
      <c r="K160">
        <v>1346.74</v>
      </c>
      <c r="L160">
        <v>3381</v>
      </c>
      <c r="M160">
        <v>1375.54</v>
      </c>
      <c r="N160">
        <v>20577.97</v>
      </c>
      <c r="O160">
        <v>12</v>
      </c>
      <c r="P160">
        <v>11.61</v>
      </c>
      <c r="R160">
        <v>798.81000000000006</v>
      </c>
      <c r="V160">
        <v>27</v>
      </c>
      <c r="W160">
        <v>340</v>
      </c>
      <c r="X160">
        <v>0</v>
      </c>
      <c r="Y160">
        <v>0</v>
      </c>
      <c r="Z160">
        <v>399</v>
      </c>
      <c r="AA160">
        <v>1339.35</v>
      </c>
      <c r="AB160">
        <v>79</v>
      </c>
      <c r="AC160">
        <v>518.53</v>
      </c>
      <c r="AD160">
        <v>168</v>
      </c>
      <c r="AE160">
        <v>292.02999999999997</v>
      </c>
      <c r="AH160">
        <v>0</v>
      </c>
      <c r="AJ160">
        <v>1693.6</v>
      </c>
      <c r="AN160">
        <v>0</v>
      </c>
      <c r="AO160">
        <v>0</v>
      </c>
      <c r="AP160">
        <v>-6741.9</v>
      </c>
      <c r="AQ160">
        <v>534</v>
      </c>
      <c r="AR160">
        <v>4145.3900000000003</v>
      </c>
      <c r="AS160">
        <v>1217</v>
      </c>
      <c r="AT160">
        <v>9056.14</v>
      </c>
      <c r="AU160">
        <v>82</v>
      </c>
      <c r="AV160">
        <v>728.15</v>
      </c>
      <c r="AW160">
        <v>27</v>
      </c>
      <c r="AX160">
        <v>266.89999999999998</v>
      </c>
      <c r="AY160">
        <v>452</v>
      </c>
      <c r="AZ160">
        <v>2249.8200000000002</v>
      </c>
      <c r="BS160">
        <v>21154.400000000001</v>
      </c>
      <c r="BV160">
        <v>210.86999999999898</v>
      </c>
      <c r="BW160">
        <v>210.87</v>
      </c>
      <c r="CG160">
        <v>159</v>
      </c>
      <c r="CH160">
        <v>159</v>
      </c>
    </row>
    <row r="161" spans="1:86" x14ac:dyDescent="0.35">
      <c r="A161">
        <v>358682</v>
      </c>
      <c r="B161" s="2">
        <v>44206</v>
      </c>
      <c r="C161" s="2">
        <v>44212</v>
      </c>
      <c r="D161">
        <v>505</v>
      </c>
      <c r="E161">
        <v>1706.75</v>
      </c>
      <c r="F161">
        <v>6451.59</v>
      </c>
      <c r="G161">
        <v>1293.57</v>
      </c>
      <c r="H161">
        <v>4238.2299999999996</v>
      </c>
      <c r="I161">
        <v>484.13</v>
      </c>
      <c r="J161">
        <v>12671.300000000001</v>
      </c>
      <c r="K161">
        <v>520.20999999999992</v>
      </c>
      <c r="L161">
        <v>2218</v>
      </c>
      <c r="M161">
        <v>550.54</v>
      </c>
      <c r="N161">
        <v>13369.240000000002</v>
      </c>
      <c r="O161">
        <v>2</v>
      </c>
      <c r="P161">
        <v>3.78</v>
      </c>
      <c r="R161">
        <v>728.2700000000001</v>
      </c>
      <c r="V161">
        <v>2</v>
      </c>
      <c r="W161">
        <v>30</v>
      </c>
      <c r="X161">
        <v>0</v>
      </c>
      <c r="Y161">
        <v>0</v>
      </c>
      <c r="Z161">
        <v>247</v>
      </c>
      <c r="AA161">
        <v>877.28</v>
      </c>
      <c r="AB161">
        <v>51</v>
      </c>
      <c r="AC161">
        <v>282.35000000000002</v>
      </c>
      <c r="AD161">
        <v>155</v>
      </c>
      <c r="AE161">
        <v>210.32</v>
      </c>
      <c r="AH161">
        <v>0</v>
      </c>
      <c r="AJ161">
        <v>1172.1199999999999</v>
      </c>
      <c r="AN161">
        <v>2607.5300000000002</v>
      </c>
      <c r="AO161">
        <v>77.290000000000006</v>
      </c>
      <c r="AP161">
        <v>21.470000000000255</v>
      </c>
      <c r="AQ161">
        <v>263</v>
      </c>
      <c r="AR161">
        <v>1843.32</v>
      </c>
      <c r="AS161">
        <v>955</v>
      </c>
      <c r="AT161">
        <v>6320.84</v>
      </c>
      <c r="AU161">
        <v>149</v>
      </c>
      <c r="AV161">
        <v>1056.6500000000001</v>
      </c>
      <c r="AW161">
        <v>39</v>
      </c>
      <c r="AX161">
        <v>261.36</v>
      </c>
      <c r="AY161">
        <v>293</v>
      </c>
      <c r="AZ161">
        <v>1386.59</v>
      </c>
      <c r="BM161">
        <v>5</v>
      </c>
      <c r="BN161">
        <v>47.69</v>
      </c>
      <c r="BP161">
        <v>46</v>
      </c>
      <c r="BQ161">
        <v>548.69000000000005</v>
      </c>
      <c r="BR161">
        <v>468.04</v>
      </c>
      <c r="BS161">
        <v>13195.08</v>
      </c>
      <c r="BV161">
        <v>-10.070000000001528</v>
      </c>
      <c r="BW161">
        <v>-6.18</v>
      </c>
      <c r="CA161">
        <v>14</v>
      </c>
      <c r="CB161">
        <v>269.02999999999997</v>
      </c>
      <c r="CG161">
        <v>160</v>
      </c>
      <c r="CH161">
        <v>160</v>
      </c>
    </row>
    <row r="162" spans="1:86" x14ac:dyDescent="0.35">
      <c r="A162">
        <v>359606</v>
      </c>
      <c r="B162" s="2">
        <v>44206</v>
      </c>
      <c r="C162" s="2">
        <v>44212</v>
      </c>
      <c r="D162">
        <v>295</v>
      </c>
      <c r="E162">
        <v>1023.15</v>
      </c>
      <c r="F162">
        <v>3825.0800000000008</v>
      </c>
      <c r="G162">
        <v>1311.36</v>
      </c>
      <c r="H162">
        <v>2548.0700000000002</v>
      </c>
      <c r="I162">
        <v>270.79000000000002</v>
      </c>
      <c r="J162">
        <v>8118.9599999999991</v>
      </c>
      <c r="K162">
        <v>216.86999999999998</v>
      </c>
      <c r="L162">
        <v>1502</v>
      </c>
      <c r="M162">
        <v>224.14999999999998</v>
      </c>
      <c r="N162">
        <v>8614.2099999999991</v>
      </c>
      <c r="O162">
        <v>1</v>
      </c>
      <c r="P162">
        <v>2.59</v>
      </c>
      <c r="R162">
        <v>502.53</v>
      </c>
      <c r="V162">
        <v>1</v>
      </c>
      <c r="W162">
        <v>30</v>
      </c>
      <c r="X162">
        <v>0</v>
      </c>
      <c r="Y162">
        <v>0</v>
      </c>
      <c r="Z162">
        <v>149</v>
      </c>
      <c r="AA162">
        <v>308.8</v>
      </c>
      <c r="AB162">
        <v>25</v>
      </c>
      <c r="AC162">
        <v>154.94</v>
      </c>
      <c r="AD162">
        <v>0</v>
      </c>
      <c r="AE162">
        <v>0</v>
      </c>
      <c r="AH162">
        <v>0</v>
      </c>
      <c r="AJ162">
        <v>741.37</v>
      </c>
      <c r="AN162">
        <v>1187</v>
      </c>
      <c r="AO162">
        <v>5.0599999999999996</v>
      </c>
      <c r="AP162">
        <v>2.6799999999998363</v>
      </c>
      <c r="AQ162">
        <v>160</v>
      </c>
      <c r="AR162">
        <v>1195.7</v>
      </c>
      <c r="AS162">
        <v>696</v>
      </c>
      <c r="AT162">
        <v>4332.62</v>
      </c>
      <c r="AU162">
        <v>109</v>
      </c>
      <c r="AV162">
        <v>636.29999999999995</v>
      </c>
      <c r="AW162">
        <v>26</v>
      </c>
      <c r="AX162">
        <v>195.68</v>
      </c>
      <c r="AY162">
        <v>228</v>
      </c>
      <c r="AZ162">
        <v>1105.45</v>
      </c>
      <c r="BP162">
        <v>16</v>
      </c>
      <c r="BQ162">
        <v>227.44</v>
      </c>
      <c r="BR162">
        <v>208.86</v>
      </c>
      <c r="BS162">
        <v>8335.83</v>
      </c>
      <c r="BV162">
        <v>66.639999999999418</v>
      </c>
      <c r="BW162">
        <v>66.64</v>
      </c>
      <c r="BX162" t="s">
        <v>100</v>
      </c>
      <c r="BY162">
        <v>12</v>
      </c>
      <c r="CA162">
        <v>23</v>
      </c>
      <c r="CB162">
        <v>210.5</v>
      </c>
      <c r="CE162">
        <v>1</v>
      </c>
      <c r="CF162">
        <v>26.13</v>
      </c>
      <c r="CG162">
        <v>161</v>
      </c>
      <c r="CH162">
        <v>161</v>
      </c>
    </row>
    <row r="163" spans="1:86" x14ac:dyDescent="0.35">
      <c r="A163">
        <v>350432</v>
      </c>
      <c r="B163" s="2">
        <v>44210</v>
      </c>
      <c r="C163" s="2">
        <v>44210</v>
      </c>
      <c r="D163">
        <v>171</v>
      </c>
      <c r="E163" s="1">
        <v>577.02</v>
      </c>
      <c r="F163" s="1">
        <v>1829.52</v>
      </c>
      <c r="G163" s="1">
        <v>373.84</v>
      </c>
      <c r="H163" s="1">
        <v>820.77</v>
      </c>
      <c r="I163" s="1">
        <v>138.13999999999999</v>
      </c>
      <c r="J163" s="1">
        <v>3455.67</v>
      </c>
      <c r="K163" s="1">
        <v>468.03</v>
      </c>
      <c r="L163">
        <v>716</v>
      </c>
      <c r="M163" s="1">
        <v>477.36</v>
      </c>
      <c r="N163" s="1">
        <v>3612.29</v>
      </c>
      <c r="O163">
        <v>1</v>
      </c>
      <c r="P163" s="1">
        <v>4.29</v>
      </c>
      <c r="Q163">
        <v>12</v>
      </c>
      <c r="R163" s="1">
        <v>10.39</v>
      </c>
      <c r="S163">
        <v>69</v>
      </c>
      <c r="T163" s="1">
        <v>116.63</v>
      </c>
      <c r="U163" s="1">
        <v>34.64</v>
      </c>
      <c r="V163">
        <v>0</v>
      </c>
      <c r="W163" s="1">
        <v>0</v>
      </c>
      <c r="X163">
        <v>23</v>
      </c>
      <c r="Y163" s="1">
        <v>0</v>
      </c>
      <c r="Z163">
        <v>144</v>
      </c>
      <c r="AA163" s="1">
        <v>511.68</v>
      </c>
      <c r="AB163">
        <v>20</v>
      </c>
      <c r="AC163" s="1">
        <v>45.61</v>
      </c>
      <c r="AD163">
        <v>2</v>
      </c>
      <c r="AE163" s="1">
        <v>0.33</v>
      </c>
      <c r="AF163" s="1">
        <v>0</v>
      </c>
      <c r="AG163" s="1">
        <v>0</v>
      </c>
      <c r="AH163" s="1">
        <v>0</v>
      </c>
      <c r="AI163" s="1">
        <v>0</v>
      </c>
      <c r="AJ163" s="1">
        <v>348.98</v>
      </c>
      <c r="AL163" s="1">
        <v>3923.7</v>
      </c>
      <c r="AM163" s="1">
        <v>0</v>
      </c>
      <c r="AN163" s="1">
        <v>768</v>
      </c>
      <c r="AO163" s="1">
        <v>0</v>
      </c>
      <c r="AP163" s="1">
        <v>12.59</v>
      </c>
      <c r="AQ163">
        <v>82</v>
      </c>
      <c r="AR163" s="1">
        <v>497.01</v>
      </c>
      <c r="AS163">
        <v>307</v>
      </c>
      <c r="AT163" s="1">
        <v>1995.81</v>
      </c>
      <c r="AU163">
        <v>31</v>
      </c>
      <c r="AV163" s="1">
        <v>153.11000000000001</v>
      </c>
      <c r="AW163">
        <v>6</v>
      </c>
      <c r="AX163" s="1">
        <v>26.9</v>
      </c>
      <c r="AY163">
        <v>70</v>
      </c>
      <c r="AZ163" s="1">
        <v>322.99</v>
      </c>
      <c r="BA163">
        <v>2</v>
      </c>
      <c r="BB163" s="1">
        <v>13.79</v>
      </c>
      <c r="BC163">
        <v>4</v>
      </c>
      <c r="BD163" s="1">
        <v>26.04</v>
      </c>
      <c r="BE163">
        <v>22</v>
      </c>
      <c r="BF163" s="1">
        <v>123.8</v>
      </c>
      <c r="BG163">
        <v>5</v>
      </c>
      <c r="BH163" s="1">
        <v>26.39</v>
      </c>
      <c r="BK163">
        <v>12</v>
      </c>
      <c r="BL163" s="1">
        <v>112.62</v>
      </c>
      <c r="BM163">
        <v>2</v>
      </c>
      <c r="BN163" s="1">
        <v>14.54</v>
      </c>
      <c r="BO163" s="1">
        <v>13.36</v>
      </c>
      <c r="BP163">
        <v>12</v>
      </c>
      <c r="BQ163" s="1">
        <v>144.80000000000001</v>
      </c>
      <c r="BR163" s="1">
        <v>132.96</v>
      </c>
      <c r="BZ163">
        <v>1</v>
      </c>
      <c r="CA163">
        <v>5</v>
      </c>
      <c r="CB163" s="1">
        <v>59.47</v>
      </c>
      <c r="CG163">
        <v>162</v>
      </c>
      <c r="CH163">
        <v>162</v>
      </c>
    </row>
    <row r="164" spans="1:86" x14ac:dyDescent="0.35">
      <c r="A164">
        <v>350437</v>
      </c>
      <c r="B164" s="2">
        <v>44210</v>
      </c>
      <c r="C164" s="2">
        <v>44210</v>
      </c>
      <c r="D164">
        <v>107</v>
      </c>
      <c r="E164" s="1">
        <v>359.24</v>
      </c>
      <c r="F164" s="1">
        <v>1228.33</v>
      </c>
      <c r="G164" s="1">
        <v>497.31</v>
      </c>
      <c r="H164" s="1">
        <v>632.6</v>
      </c>
      <c r="I164" s="1">
        <v>90.89</v>
      </c>
      <c r="J164" s="1">
        <v>2662.26</v>
      </c>
      <c r="K164" s="1">
        <v>0</v>
      </c>
      <c r="L164">
        <v>479</v>
      </c>
      <c r="M164" s="1">
        <v>0</v>
      </c>
      <c r="N164" s="1">
        <v>2761.87</v>
      </c>
      <c r="O164">
        <v>1</v>
      </c>
      <c r="P164" s="1">
        <v>9.49</v>
      </c>
      <c r="Q164">
        <v>10</v>
      </c>
      <c r="R164" s="1">
        <v>12.79</v>
      </c>
      <c r="S164">
        <v>25</v>
      </c>
      <c r="T164" s="1">
        <v>45.67</v>
      </c>
      <c r="U164" s="1">
        <v>31.66</v>
      </c>
      <c r="V164">
        <v>1</v>
      </c>
      <c r="W164" s="1">
        <v>10</v>
      </c>
      <c r="X164">
        <v>17</v>
      </c>
      <c r="Y164" s="1">
        <v>0</v>
      </c>
      <c r="Z164">
        <v>55</v>
      </c>
      <c r="AA164" s="1">
        <v>158.19999999999999</v>
      </c>
      <c r="AB164">
        <v>3</v>
      </c>
      <c r="AC164" s="1">
        <v>4.37</v>
      </c>
      <c r="AD164">
        <v>2</v>
      </c>
      <c r="AE164" s="1">
        <v>7.48</v>
      </c>
      <c r="AF164" s="1">
        <v>0</v>
      </c>
      <c r="AG164" s="1">
        <v>0</v>
      </c>
      <c r="AH164" s="1">
        <v>0</v>
      </c>
      <c r="AI164" s="1">
        <v>0</v>
      </c>
      <c r="AJ164" s="1">
        <v>236.8</v>
      </c>
      <c r="AL164" s="1">
        <v>2662.26</v>
      </c>
      <c r="AM164" s="1">
        <v>0</v>
      </c>
      <c r="AN164" s="1">
        <v>530</v>
      </c>
      <c r="AO164" s="1">
        <v>0</v>
      </c>
      <c r="AP164" s="1">
        <v>9.64</v>
      </c>
      <c r="AQ164">
        <v>47</v>
      </c>
      <c r="AR164" s="1">
        <v>319.33999999999997</v>
      </c>
      <c r="AS164">
        <v>194</v>
      </c>
      <c r="AT164" s="1">
        <v>1241.0899999999999</v>
      </c>
      <c r="AU164">
        <v>36</v>
      </c>
      <c r="AV164" s="1">
        <v>194.16</v>
      </c>
      <c r="AW164">
        <v>6</v>
      </c>
      <c r="AX164" s="1">
        <v>44.03</v>
      </c>
      <c r="AY164">
        <v>41</v>
      </c>
      <c r="AZ164" s="1">
        <v>176.49</v>
      </c>
      <c r="BA164">
        <v>2</v>
      </c>
      <c r="BB164" s="1">
        <v>7.59</v>
      </c>
      <c r="BE164">
        <v>17</v>
      </c>
      <c r="BF164" s="1">
        <v>97.2</v>
      </c>
      <c r="BG164">
        <v>1</v>
      </c>
      <c r="BH164" s="1">
        <v>3.04</v>
      </c>
      <c r="BK164">
        <v>12</v>
      </c>
      <c r="BL164" s="1">
        <v>90.16</v>
      </c>
      <c r="BP164">
        <v>11</v>
      </c>
      <c r="BQ164" s="1">
        <v>160.28</v>
      </c>
      <c r="BR164" s="1">
        <v>139.02000000000001</v>
      </c>
      <c r="BZ164">
        <v>1</v>
      </c>
      <c r="CA164">
        <v>5</v>
      </c>
      <c r="CB164" s="1">
        <v>55.32</v>
      </c>
      <c r="CG164">
        <v>163</v>
      </c>
      <c r="CH164">
        <v>163</v>
      </c>
    </row>
    <row r="165" spans="1:86" x14ac:dyDescent="0.35">
      <c r="A165">
        <v>351323</v>
      </c>
      <c r="B165" s="2">
        <v>44210</v>
      </c>
      <c r="C165" s="2">
        <v>44210</v>
      </c>
      <c r="D165">
        <v>148</v>
      </c>
      <c r="E165" s="1">
        <v>477.94</v>
      </c>
      <c r="F165" s="1">
        <v>1657.4</v>
      </c>
      <c r="G165" s="1">
        <v>373.68</v>
      </c>
      <c r="H165" s="1">
        <v>717.93</v>
      </c>
      <c r="I165" s="1">
        <v>142.09</v>
      </c>
      <c r="J165" s="1">
        <v>3077.93</v>
      </c>
      <c r="K165" s="1">
        <v>277.95</v>
      </c>
      <c r="L165">
        <v>641</v>
      </c>
      <c r="M165" s="1">
        <v>283.93</v>
      </c>
      <c r="N165" s="1">
        <v>3252.95</v>
      </c>
      <c r="O165">
        <v>1</v>
      </c>
      <c r="P165" s="1">
        <v>21.95</v>
      </c>
      <c r="Q165">
        <v>3</v>
      </c>
      <c r="R165" s="1">
        <v>1.19</v>
      </c>
      <c r="S165">
        <v>64</v>
      </c>
      <c r="T165" s="1">
        <v>118.49</v>
      </c>
      <c r="U165" s="1">
        <v>39.369999999999997</v>
      </c>
      <c r="V165">
        <v>0</v>
      </c>
      <c r="W165" s="1">
        <v>0</v>
      </c>
      <c r="X165">
        <v>12</v>
      </c>
      <c r="Y165" s="1">
        <v>0</v>
      </c>
      <c r="Z165">
        <v>121</v>
      </c>
      <c r="AA165" s="1">
        <v>360.64</v>
      </c>
      <c r="AB165">
        <v>19</v>
      </c>
      <c r="AC165" s="1">
        <v>47.29</v>
      </c>
      <c r="AD165">
        <v>5</v>
      </c>
      <c r="AE165" s="1">
        <v>14.25</v>
      </c>
      <c r="AF165" s="1">
        <v>0</v>
      </c>
      <c r="AG165" s="1">
        <v>0</v>
      </c>
      <c r="AH165" s="1">
        <v>0</v>
      </c>
      <c r="AI165" s="1">
        <v>0</v>
      </c>
      <c r="AJ165" s="1">
        <v>201.2</v>
      </c>
      <c r="AL165" s="1">
        <v>3355.88</v>
      </c>
      <c r="AM165" s="1">
        <v>0</v>
      </c>
      <c r="AN165" s="1">
        <v>540</v>
      </c>
      <c r="AO165" s="1">
        <v>0</v>
      </c>
      <c r="AP165" s="1">
        <v>-1.4</v>
      </c>
      <c r="AQ165">
        <v>83</v>
      </c>
      <c r="AR165" s="1">
        <v>551.91999999999996</v>
      </c>
      <c r="AS165">
        <v>285</v>
      </c>
      <c r="AT165" s="1">
        <v>1702.72</v>
      </c>
      <c r="AU165">
        <v>11</v>
      </c>
      <c r="AV165" s="1">
        <v>61.85</v>
      </c>
      <c r="AW165">
        <v>6</v>
      </c>
      <c r="AX165" s="1">
        <v>38.72</v>
      </c>
      <c r="AY165">
        <v>81</v>
      </c>
      <c r="AZ165" s="1">
        <v>366.76</v>
      </c>
      <c r="BC165">
        <v>1</v>
      </c>
      <c r="BD165" s="1">
        <v>10.67</v>
      </c>
      <c r="BE165">
        <v>19</v>
      </c>
      <c r="BF165" s="1">
        <v>113.95</v>
      </c>
      <c r="BG165">
        <v>3</v>
      </c>
      <c r="BH165" s="1">
        <v>11.93</v>
      </c>
      <c r="BK165">
        <v>8</v>
      </c>
      <c r="BL165" s="1">
        <v>61.31</v>
      </c>
      <c r="BM165">
        <v>2</v>
      </c>
      <c r="BN165" s="1">
        <v>13.1</v>
      </c>
      <c r="BO165" s="1">
        <v>12.36</v>
      </c>
      <c r="BP165">
        <v>5</v>
      </c>
      <c r="BQ165" s="1">
        <v>69.849999999999994</v>
      </c>
      <c r="BR165" s="1">
        <v>53.05</v>
      </c>
      <c r="BZ165">
        <v>1</v>
      </c>
      <c r="CA165">
        <v>2</v>
      </c>
      <c r="CB165" s="1">
        <v>12.9</v>
      </c>
      <c r="CG165">
        <v>164</v>
      </c>
      <c r="CH165">
        <v>164</v>
      </c>
    </row>
    <row r="166" spans="1:86" x14ac:dyDescent="0.35">
      <c r="A166">
        <v>353927</v>
      </c>
      <c r="B166" s="2">
        <v>44210</v>
      </c>
      <c r="C166" s="2">
        <v>44210</v>
      </c>
      <c r="D166">
        <v>162</v>
      </c>
      <c r="E166" s="1">
        <v>546.02</v>
      </c>
      <c r="F166" s="1">
        <v>1740.63</v>
      </c>
      <c r="G166" s="1">
        <v>522.4</v>
      </c>
      <c r="H166" s="1">
        <v>762.34</v>
      </c>
      <c r="I166" s="1">
        <v>152.08000000000001</v>
      </c>
      <c r="J166" s="1">
        <v>3344.01</v>
      </c>
      <c r="K166" s="1">
        <v>0</v>
      </c>
      <c r="L166">
        <v>625</v>
      </c>
      <c r="M166" s="1">
        <v>0</v>
      </c>
      <c r="N166" s="1">
        <v>3472.07</v>
      </c>
      <c r="O166">
        <v>0</v>
      </c>
      <c r="P166" s="1">
        <v>0</v>
      </c>
      <c r="Q166">
        <v>3</v>
      </c>
      <c r="R166" s="1">
        <v>0.38</v>
      </c>
      <c r="S166">
        <v>59</v>
      </c>
      <c r="T166" s="1">
        <v>80.7</v>
      </c>
      <c r="U166" s="1">
        <v>46.98</v>
      </c>
      <c r="V166">
        <v>0</v>
      </c>
      <c r="W166" s="1">
        <v>0</v>
      </c>
      <c r="X166">
        <v>11</v>
      </c>
      <c r="Y166" s="1">
        <v>0</v>
      </c>
      <c r="Z166">
        <v>107</v>
      </c>
      <c r="AA166" s="1">
        <v>263.31</v>
      </c>
      <c r="AB166">
        <v>3</v>
      </c>
      <c r="AC166" s="1">
        <v>10.67</v>
      </c>
      <c r="AD166">
        <v>4</v>
      </c>
      <c r="AE166" s="1">
        <v>4.8499999999999996</v>
      </c>
      <c r="AF166" s="1">
        <v>0</v>
      </c>
      <c r="AG166" s="1">
        <v>0</v>
      </c>
      <c r="AH166" s="1">
        <v>0</v>
      </c>
      <c r="AI166" s="1">
        <v>0</v>
      </c>
      <c r="AJ166" s="1">
        <v>200.53</v>
      </c>
      <c r="AL166" s="1">
        <v>3344.01</v>
      </c>
      <c r="AM166" s="1">
        <v>0</v>
      </c>
      <c r="AN166" s="1">
        <v>741</v>
      </c>
      <c r="AO166" s="1">
        <v>0</v>
      </c>
      <c r="AP166" s="1">
        <v>-1.83</v>
      </c>
      <c r="AQ166">
        <v>94</v>
      </c>
      <c r="AR166" s="1">
        <v>609.44000000000005</v>
      </c>
      <c r="AS166">
        <v>256</v>
      </c>
      <c r="AT166" s="1">
        <v>1479.15</v>
      </c>
      <c r="AU166">
        <v>7</v>
      </c>
      <c r="AV166" s="1">
        <v>63.47</v>
      </c>
      <c r="AW166">
        <v>7</v>
      </c>
      <c r="AX166" s="1">
        <v>40.81</v>
      </c>
      <c r="AY166">
        <v>62</v>
      </c>
      <c r="AZ166" s="1">
        <v>269.64999999999998</v>
      </c>
      <c r="BA166">
        <v>1</v>
      </c>
      <c r="BB166" s="1">
        <v>4.34</v>
      </c>
      <c r="BC166">
        <v>1</v>
      </c>
      <c r="BD166" s="1">
        <v>3.91</v>
      </c>
      <c r="BE166">
        <v>18</v>
      </c>
      <c r="BF166" s="1">
        <v>80.28</v>
      </c>
      <c r="BG166">
        <v>1</v>
      </c>
      <c r="BH166" s="1">
        <v>5.13</v>
      </c>
      <c r="BK166">
        <v>6</v>
      </c>
      <c r="BL166" s="1">
        <v>38.770000000000003</v>
      </c>
      <c r="BP166">
        <v>9</v>
      </c>
      <c r="BQ166" s="1">
        <v>98.64</v>
      </c>
      <c r="BR166" s="1">
        <v>78.72</v>
      </c>
      <c r="BZ166">
        <v>1</v>
      </c>
      <c r="CA166">
        <v>11</v>
      </c>
      <c r="CB166" s="1">
        <v>108.12</v>
      </c>
      <c r="CG166">
        <v>165</v>
      </c>
      <c r="CH166">
        <v>165</v>
      </c>
    </row>
    <row r="167" spans="1:86" x14ac:dyDescent="0.35">
      <c r="A167">
        <v>354030</v>
      </c>
      <c r="B167" s="2">
        <v>44210</v>
      </c>
      <c r="C167" s="2">
        <v>44210</v>
      </c>
      <c r="D167">
        <v>156</v>
      </c>
      <c r="E167" s="1">
        <v>517.03</v>
      </c>
      <c r="F167" s="1">
        <v>1441.25</v>
      </c>
      <c r="G167" s="1">
        <v>610.55999999999995</v>
      </c>
      <c r="H167" s="1">
        <v>613.80999999999995</v>
      </c>
      <c r="I167" s="1">
        <v>78.849999999999994</v>
      </c>
      <c r="J167" s="1">
        <v>2908.1</v>
      </c>
      <c r="K167" s="1">
        <v>101.24</v>
      </c>
      <c r="L167">
        <v>515</v>
      </c>
      <c r="M167" s="1">
        <v>101.24</v>
      </c>
      <c r="N167" s="1">
        <v>3050.07</v>
      </c>
      <c r="O167">
        <v>0</v>
      </c>
      <c r="P167" s="1">
        <v>0</v>
      </c>
      <c r="Q167">
        <v>4</v>
      </c>
      <c r="R167" s="1">
        <v>2.93</v>
      </c>
      <c r="S167">
        <v>39</v>
      </c>
      <c r="T167" s="1">
        <v>94.14</v>
      </c>
      <c r="U167" s="1">
        <v>44.9</v>
      </c>
      <c r="V167">
        <v>3</v>
      </c>
      <c r="W167" s="1">
        <v>40</v>
      </c>
      <c r="X167">
        <v>12</v>
      </c>
      <c r="Y167" s="1">
        <v>0</v>
      </c>
      <c r="Z167">
        <v>56</v>
      </c>
      <c r="AA167" s="1">
        <v>201.4</v>
      </c>
      <c r="AB167">
        <v>9</v>
      </c>
      <c r="AC167" s="1">
        <v>38.6</v>
      </c>
      <c r="AD167">
        <v>4</v>
      </c>
      <c r="AE167" s="1">
        <v>9.92</v>
      </c>
      <c r="AF167" s="1">
        <v>0</v>
      </c>
      <c r="AG167" s="1">
        <v>0</v>
      </c>
      <c r="AH167" s="1">
        <v>0</v>
      </c>
      <c r="AI167" s="1">
        <v>0</v>
      </c>
      <c r="AJ167" s="1">
        <v>180.39</v>
      </c>
      <c r="AL167" s="1">
        <v>3009.34</v>
      </c>
      <c r="AM167" s="1">
        <v>0</v>
      </c>
      <c r="AN167" s="1">
        <v>493</v>
      </c>
      <c r="AO167" s="1">
        <v>3.61</v>
      </c>
      <c r="AP167" s="1">
        <v>1.74</v>
      </c>
      <c r="AQ167">
        <v>62</v>
      </c>
      <c r="AR167" s="1">
        <v>428.81</v>
      </c>
      <c r="AS167">
        <v>213</v>
      </c>
      <c r="AT167" s="1">
        <v>1484.63</v>
      </c>
      <c r="AU167">
        <v>11</v>
      </c>
      <c r="AV167" s="1">
        <v>71.739999999999995</v>
      </c>
      <c r="AW167">
        <v>6</v>
      </c>
      <c r="AX167" s="1">
        <v>77</v>
      </c>
      <c r="AY167">
        <v>84</v>
      </c>
      <c r="AZ167" s="1">
        <v>364.35</v>
      </c>
      <c r="BA167">
        <v>1</v>
      </c>
      <c r="BB167" s="1">
        <v>7.08</v>
      </c>
      <c r="BC167">
        <v>1</v>
      </c>
      <c r="BD167" s="1">
        <v>4.0199999999999996</v>
      </c>
      <c r="BE167">
        <v>26</v>
      </c>
      <c r="BF167" s="1">
        <v>137.49</v>
      </c>
      <c r="BG167">
        <v>2</v>
      </c>
      <c r="BH167" s="1">
        <v>21.93</v>
      </c>
      <c r="BK167">
        <v>13</v>
      </c>
      <c r="BL167" s="1">
        <v>84.23</v>
      </c>
      <c r="BZ167">
        <v>1</v>
      </c>
      <c r="CA167">
        <v>3</v>
      </c>
      <c r="CB167" s="1">
        <v>53.58</v>
      </c>
      <c r="CG167">
        <v>166</v>
      </c>
      <c r="CH167">
        <v>166</v>
      </c>
    </row>
    <row r="168" spans="1:86" x14ac:dyDescent="0.35">
      <c r="A168">
        <v>355439</v>
      </c>
      <c r="B168" s="2">
        <v>44210</v>
      </c>
      <c r="C168" s="2">
        <v>44210</v>
      </c>
      <c r="D168">
        <v>205</v>
      </c>
      <c r="E168" s="1">
        <v>627.73</v>
      </c>
      <c r="F168" s="1">
        <v>1993.03</v>
      </c>
      <c r="G168" s="1">
        <v>696.77</v>
      </c>
      <c r="H168" s="1">
        <v>882.78</v>
      </c>
      <c r="I168" s="1">
        <v>152.01</v>
      </c>
      <c r="J168" s="1">
        <v>3928.2</v>
      </c>
      <c r="K168" s="1">
        <v>0</v>
      </c>
      <c r="L168">
        <v>740</v>
      </c>
      <c r="M168" s="1">
        <v>0</v>
      </c>
      <c r="N168" s="1">
        <v>4077.89</v>
      </c>
      <c r="O168">
        <v>2</v>
      </c>
      <c r="P168" s="1">
        <v>10.74</v>
      </c>
      <c r="Q168">
        <v>14</v>
      </c>
      <c r="R168" s="1">
        <v>4.6100000000000003</v>
      </c>
      <c r="S168">
        <v>60</v>
      </c>
      <c r="T168" s="1">
        <v>92.6</v>
      </c>
      <c r="U168" s="1">
        <v>41.74</v>
      </c>
      <c r="V168">
        <v>2</v>
      </c>
      <c r="W168" s="1">
        <v>15</v>
      </c>
      <c r="X168">
        <v>17</v>
      </c>
      <c r="Y168" s="1">
        <v>0</v>
      </c>
      <c r="Z168">
        <v>87</v>
      </c>
      <c r="AA168" s="1">
        <v>226.93</v>
      </c>
      <c r="AB168">
        <v>19</v>
      </c>
      <c r="AC168" s="1">
        <v>36.270000000000003</v>
      </c>
      <c r="AD168">
        <v>6</v>
      </c>
      <c r="AE168" s="1">
        <v>24.65</v>
      </c>
      <c r="AF168" s="1">
        <v>0.05</v>
      </c>
      <c r="AG168" s="1">
        <v>0</v>
      </c>
      <c r="AH168" s="1">
        <v>0</v>
      </c>
      <c r="AI168" s="1">
        <v>0</v>
      </c>
      <c r="AJ168" s="1">
        <v>314.64</v>
      </c>
      <c r="AL168" s="1">
        <v>3928.25</v>
      </c>
      <c r="AM168" s="1">
        <v>0</v>
      </c>
      <c r="AN168" s="1">
        <v>735</v>
      </c>
      <c r="AO168" s="1">
        <v>0</v>
      </c>
      <c r="AP168" s="1">
        <v>4.53</v>
      </c>
      <c r="AQ168">
        <v>90</v>
      </c>
      <c r="AR168" s="1">
        <v>575.08000000000004</v>
      </c>
      <c r="AS168">
        <v>295</v>
      </c>
      <c r="AT168" s="1">
        <v>1786.74</v>
      </c>
      <c r="AU168">
        <v>25</v>
      </c>
      <c r="AV168" s="1">
        <v>239.21</v>
      </c>
      <c r="AW168">
        <v>8</v>
      </c>
      <c r="AX168" s="1">
        <v>35.85</v>
      </c>
      <c r="AY168">
        <v>77</v>
      </c>
      <c r="AZ168" s="1">
        <v>322.99</v>
      </c>
      <c r="BA168">
        <v>2</v>
      </c>
      <c r="BB168" s="1">
        <v>14.96</v>
      </c>
      <c r="BC168">
        <v>1</v>
      </c>
      <c r="BD168" s="1">
        <v>5.7</v>
      </c>
      <c r="BE168">
        <v>32</v>
      </c>
      <c r="BF168" s="1">
        <v>188.13</v>
      </c>
      <c r="BG168">
        <v>5</v>
      </c>
      <c r="BH168" s="1">
        <v>28.81</v>
      </c>
      <c r="BK168">
        <v>16</v>
      </c>
      <c r="BL168" s="1">
        <v>100.63</v>
      </c>
      <c r="BM168">
        <v>1</v>
      </c>
      <c r="BN168" s="1">
        <v>14.66</v>
      </c>
      <c r="BO168" s="1">
        <v>13.57</v>
      </c>
      <c r="BP168">
        <v>4</v>
      </c>
      <c r="BQ168" s="1">
        <v>48.21</v>
      </c>
      <c r="BR168" s="1">
        <v>33.68</v>
      </c>
      <c r="BZ168">
        <v>1</v>
      </c>
      <c r="CA168">
        <v>11</v>
      </c>
      <c r="CB168" s="1">
        <v>166.45</v>
      </c>
      <c r="CG168">
        <v>167</v>
      </c>
      <c r="CH168">
        <v>167</v>
      </c>
    </row>
    <row r="169" spans="1:86" x14ac:dyDescent="0.35">
      <c r="A169">
        <v>350432</v>
      </c>
      <c r="B169" s="2">
        <v>44211</v>
      </c>
      <c r="C169" s="2">
        <v>44211</v>
      </c>
      <c r="D169">
        <v>178</v>
      </c>
      <c r="E169" s="1">
        <v>573.59</v>
      </c>
      <c r="F169" s="1">
        <v>2044.27</v>
      </c>
      <c r="G169" s="1">
        <v>696.78</v>
      </c>
      <c r="H169" s="1">
        <v>962.73</v>
      </c>
      <c r="I169" s="1">
        <v>169.52</v>
      </c>
      <c r="J169" s="1">
        <v>4140.6099999999997</v>
      </c>
      <c r="K169" s="1">
        <v>609.17999999999995</v>
      </c>
      <c r="L169">
        <v>779</v>
      </c>
      <c r="M169" s="1">
        <v>620.04999999999995</v>
      </c>
      <c r="N169" s="1">
        <v>4269.34</v>
      </c>
      <c r="O169">
        <v>1</v>
      </c>
      <c r="P169" s="1">
        <v>10.08</v>
      </c>
      <c r="Q169">
        <v>11</v>
      </c>
      <c r="R169" s="1">
        <v>10.62</v>
      </c>
      <c r="S169">
        <v>43</v>
      </c>
      <c r="T169" s="1">
        <v>69.040000000000006</v>
      </c>
      <c r="U169" s="1">
        <v>49.86</v>
      </c>
      <c r="V169">
        <v>3</v>
      </c>
      <c r="W169" s="1">
        <v>30</v>
      </c>
      <c r="X169">
        <v>19</v>
      </c>
      <c r="Y169" s="1">
        <v>0</v>
      </c>
      <c r="Z169">
        <v>151</v>
      </c>
      <c r="AA169" s="1">
        <v>448.23</v>
      </c>
      <c r="AB169">
        <v>22</v>
      </c>
      <c r="AC169" s="1">
        <v>54.99</v>
      </c>
      <c r="AD169">
        <v>0</v>
      </c>
      <c r="AE169" s="1">
        <v>0</v>
      </c>
      <c r="AF169" s="1">
        <v>0</v>
      </c>
      <c r="AG169" s="1">
        <v>0</v>
      </c>
      <c r="AH169" s="1">
        <v>0</v>
      </c>
      <c r="AI169" s="1">
        <v>0</v>
      </c>
      <c r="AJ169" s="1">
        <v>422.51</v>
      </c>
      <c r="AL169" s="1">
        <v>4749.79</v>
      </c>
      <c r="AM169" s="1">
        <v>0</v>
      </c>
      <c r="AN169" s="1">
        <v>760</v>
      </c>
      <c r="AO169" s="1">
        <v>21.8</v>
      </c>
      <c r="AP169" s="1">
        <v>-33.659999999999997</v>
      </c>
      <c r="AQ169">
        <v>100</v>
      </c>
      <c r="AR169" s="1">
        <v>635.35</v>
      </c>
      <c r="AS169">
        <v>370</v>
      </c>
      <c r="AT169" s="1">
        <v>2586</v>
      </c>
      <c r="AU169">
        <v>33</v>
      </c>
      <c r="AV169" s="1">
        <v>306.52</v>
      </c>
      <c r="AW169">
        <v>7</v>
      </c>
      <c r="AX169" s="1">
        <v>46.49</v>
      </c>
      <c r="AY169">
        <v>69</v>
      </c>
      <c r="AZ169" s="1">
        <v>368.3</v>
      </c>
      <c r="BA169">
        <v>1</v>
      </c>
      <c r="BB169" s="1">
        <v>7.33</v>
      </c>
      <c r="BC169">
        <v>1</v>
      </c>
      <c r="BD169" s="1">
        <v>2.1800000000000002</v>
      </c>
      <c r="BE169">
        <v>19</v>
      </c>
      <c r="BF169" s="1">
        <v>104.57</v>
      </c>
      <c r="BG169">
        <v>4</v>
      </c>
      <c r="BH169" s="1">
        <v>25.1</v>
      </c>
      <c r="BI169">
        <v>2</v>
      </c>
      <c r="BJ169" s="1">
        <v>52.25</v>
      </c>
      <c r="BK169">
        <v>7</v>
      </c>
      <c r="BL169" s="1">
        <v>39.18</v>
      </c>
      <c r="BP169">
        <v>12</v>
      </c>
      <c r="BQ169" s="1">
        <v>147.47</v>
      </c>
      <c r="BR169" s="1">
        <v>135.41</v>
      </c>
      <c r="BZ169">
        <v>1</v>
      </c>
      <c r="CA169">
        <v>5</v>
      </c>
      <c r="CB169" s="1">
        <v>66.099999999999994</v>
      </c>
      <c r="CG169">
        <v>168</v>
      </c>
      <c r="CH169">
        <v>168</v>
      </c>
    </row>
    <row r="170" spans="1:86" x14ac:dyDescent="0.35">
      <c r="A170">
        <v>350437</v>
      </c>
      <c r="B170" s="2">
        <v>44211</v>
      </c>
      <c r="C170" s="2">
        <v>44211</v>
      </c>
      <c r="D170">
        <v>112</v>
      </c>
      <c r="E170" s="1">
        <v>365.32</v>
      </c>
      <c r="F170" s="1">
        <v>1436.85</v>
      </c>
      <c r="G170" s="1">
        <v>527.83000000000004</v>
      </c>
      <c r="H170" s="1">
        <v>725.56</v>
      </c>
      <c r="I170" s="1">
        <v>154.82</v>
      </c>
      <c r="J170" s="1">
        <v>3069.55</v>
      </c>
      <c r="K170" s="1">
        <v>0</v>
      </c>
      <c r="L170">
        <v>503</v>
      </c>
      <c r="M170" s="1">
        <v>0</v>
      </c>
      <c r="N170" s="1">
        <v>3157.96</v>
      </c>
      <c r="O170">
        <v>1</v>
      </c>
      <c r="P170" s="1">
        <v>3.98</v>
      </c>
      <c r="Q170">
        <v>6</v>
      </c>
      <c r="R170" s="1">
        <v>1.75</v>
      </c>
      <c r="S170">
        <v>17</v>
      </c>
      <c r="T170" s="1">
        <v>42.74</v>
      </c>
      <c r="U170" s="1">
        <v>39.94</v>
      </c>
      <c r="V170">
        <v>0</v>
      </c>
      <c r="W170" s="1">
        <v>0</v>
      </c>
      <c r="X170">
        <v>10</v>
      </c>
      <c r="Y170" s="1">
        <v>0</v>
      </c>
      <c r="Z170">
        <v>81</v>
      </c>
      <c r="AA170" s="1">
        <v>229.14</v>
      </c>
      <c r="AB170">
        <v>3</v>
      </c>
      <c r="AC170" s="1">
        <v>9.27</v>
      </c>
      <c r="AD170">
        <v>3</v>
      </c>
      <c r="AE170" s="1">
        <v>7.48</v>
      </c>
      <c r="AF170" s="1">
        <v>0</v>
      </c>
      <c r="AG170" s="1">
        <v>0</v>
      </c>
      <c r="AH170" s="1">
        <v>0</v>
      </c>
      <c r="AI170" s="1">
        <v>0</v>
      </c>
      <c r="AJ170" s="1">
        <v>273</v>
      </c>
      <c r="AL170" s="1">
        <v>3069.55</v>
      </c>
      <c r="AM170" s="1">
        <v>0</v>
      </c>
      <c r="AN170" s="1">
        <v>952</v>
      </c>
      <c r="AO170" s="1">
        <v>0</v>
      </c>
      <c r="AP170" s="1">
        <v>475.91</v>
      </c>
      <c r="AQ170">
        <v>51</v>
      </c>
      <c r="AR170" s="1">
        <v>356.46</v>
      </c>
      <c r="AS170">
        <v>221</v>
      </c>
      <c r="AT170" s="1">
        <v>1552.89</v>
      </c>
      <c r="AU170">
        <v>42</v>
      </c>
      <c r="AV170" s="1">
        <v>320.93</v>
      </c>
      <c r="AW170">
        <v>9</v>
      </c>
      <c r="AX170" s="1">
        <v>78.790000000000006</v>
      </c>
      <c r="AY170">
        <v>49</v>
      </c>
      <c r="AZ170" s="1">
        <v>275.83</v>
      </c>
      <c r="BA170">
        <v>1</v>
      </c>
      <c r="BB170" s="1">
        <v>4.66</v>
      </c>
      <c r="BE170">
        <v>9</v>
      </c>
      <c r="BF170" s="1">
        <v>33.54</v>
      </c>
      <c r="BG170">
        <v>5</v>
      </c>
      <c r="BH170" s="1">
        <v>49.13</v>
      </c>
      <c r="BK170">
        <v>6</v>
      </c>
      <c r="BL170" s="1">
        <v>67</v>
      </c>
      <c r="BM170">
        <v>1</v>
      </c>
      <c r="BN170" s="1">
        <v>1.3</v>
      </c>
      <c r="BO170" s="1">
        <v>1.19</v>
      </c>
      <c r="BP170">
        <v>6</v>
      </c>
      <c r="BQ170" s="1">
        <v>90.79</v>
      </c>
      <c r="BR170" s="1">
        <v>93.95</v>
      </c>
      <c r="BZ170">
        <v>1</v>
      </c>
      <c r="CA170">
        <v>4</v>
      </c>
      <c r="CB170" s="1">
        <v>35.14</v>
      </c>
      <c r="CG170">
        <v>169</v>
      </c>
      <c r="CH170">
        <v>169</v>
      </c>
    </row>
    <row r="171" spans="1:86" x14ac:dyDescent="0.35">
      <c r="A171">
        <v>351323</v>
      </c>
      <c r="B171" s="2">
        <v>44211</v>
      </c>
      <c r="C171" s="2">
        <v>44211</v>
      </c>
      <c r="D171">
        <v>146</v>
      </c>
      <c r="E171" s="1">
        <v>517.28</v>
      </c>
      <c r="F171" s="1">
        <v>1778.96</v>
      </c>
      <c r="G171" s="1">
        <v>631.05999999999995</v>
      </c>
      <c r="H171" s="1">
        <v>731.31</v>
      </c>
      <c r="I171" s="1">
        <v>113.83</v>
      </c>
      <c r="J171" s="1">
        <v>3500.24</v>
      </c>
      <c r="K171" s="1">
        <v>381.59</v>
      </c>
      <c r="L171">
        <v>689</v>
      </c>
      <c r="M171" s="1">
        <v>381.83</v>
      </c>
      <c r="N171" s="1">
        <v>3622.42</v>
      </c>
      <c r="O171">
        <v>0</v>
      </c>
      <c r="P171" s="1">
        <v>0</v>
      </c>
      <c r="Q171">
        <v>2</v>
      </c>
      <c r="R171" s="1">
        <v>0.46</v>
      </c>
      <c r="S171">
        <v>52</v>
      </c>
      <c r="T171" s="1">
        <v>86</v>
      </c>
      <c r="U171" s="1">
        <v>35.96</v>
      </c>
      <c r="V171">
        <v>1</v>
      </c>
      <c r="W171" s="1">
        <v>20</v>
      </c>
      <c r="X171">
        <v>18</v>
      </c>
      <c r="Y171" s="1">
        <v>0</v>
      </c>
      <c r="Z171">
        <v>84</v>
      </c>
      <c r="AA171" s="1">
        <v>517.23</v>
      </c>
      <c r="AB171">
        <v>19</v>
      </c>
      <c r="AC171" s="1">
        <v>63.66</v>
      </c>
      <c r="AD171">
        <v>4</v>
      </c>
      <c r="AE171" s="1">
        <v>17.3</v>
      </c>
      <c r="AF171" s="1">
        <v>0</v>
      </c>
      <c r="AG171" s="1">
        <v>0</v>
      </c>
      <c r="AH171" s="1">
        <v>0</v>
      </c>
      <c r="AI171" s="1">
        <v>0</v>
      </c>
      <c r="AJ171" s="1">
        <v>232.7</v>
      </c>
      <c r="AL171" s="1">
        <v>3881.83</v>
      </c>
      <c r="AM171" s="1">
        <v>0</v>
      </c>
      <c r="AN171" s="1">
        <v>763.2</v>
      </c>
      <c r="AO171" s="1">
        <v>33</v>
      </c>
      <c r="AP171" s="1">
        <v>2.33</v>
      </c>
      <c r="AQ171">
        <v>94</v>
      </c>
      <c r="AR171" s="1">
        <v>597.85</v>
      </c>
      <c r="AS171">
        <v>294</v>
      </c>
      <c r="AT171" s="1">
        <v>1968.01</v>
      </c>
      <c r="AU171">
        <v>15</v>
      </c>
      <c r="AV171" s="1">
        <v>109.69</v>
      </c>
      <c r="AW171">
        <v>10</v>
      </c>
      <c r="AX171" s="1">
        <v>43</v>
      </c>
      <c r="AY171">
        <v>77</v>
      </c>
      <c r="AZ171" s="1">
        <v>398.82</v>
      </c>
      <c r="BE171">
        <v>7</v>
      </c>
      <c r="BF171" s="1">
        <v>39.81</v>
      </c>
      <c r="BG171">
        <v>3</v>
      </c>
      <c r="BH171" s="1">
        <v>11.51</v>
      </c>
      <c r="BI171">
        <v>1</v>
      </c>
      <c r="BJ171" s="1">
        <v>26.49</v>
      </c>
      <c r="BK171">
        <v>8</v>
      </c>
      <c r="BL171" s="1">
        <v>66.5</v>
      </c>
      <c r="BP171">
        <v>6</v>
      </c>
      <c r="BQ171" s="1">
        <v>56.57</v>
      </c>
      <c r="BR171" s="1">
        <v>42.07</v>
      </c>
      <c r="BZ171">
        <v>1</v>
      </c>
      <c r="CA171">
        <v>3</v>
      </c>
      <c r="CB171" s="1">
        <v>22.41</v>
      </c>
      <c r="CG171">
        <v>170</v>
      </c>
      <c r="CH171">
        <v>170</v>
      </c>
    </row>
    <row r="172" spans="1:86" x14ac:dyDescent="0.35">
      <c r="A172">
        <v>353927</v>
      </c>
      <c r="B172" s="2">
        <v>44211</v>
      </c>
      <c r="C172" s="2">
        <v>44211</v>
      </c>
      <c r="D172">
        <v>161</v>
      </c>
      <c r="E172" s="1">
        <v>551.24</v>
      </c>
      <c r="F172" s="1">
        <v>1984.3</v>
      </c>
      <c r="G172" s="1">
        <v>826.74</v>
      </c>
      <c r="H172" s="1">
        <v>937.59</v>
      </c>
      <c r="I172" s="1">
        <v>134.80000000000001</v>
      </c>
      <c r="J172" s="1">
        <v>4075.5</v>
      </c>
      <c r="K172" s="1">
        <v>0</v>
      </c>
      <c r="L172">
        <v>653</v>
      </c>
      <c r="M172" s="1">
        <v>0</v>
      </c>
      <c r="N172" s="1">
        <v>4196.72</v>
      </c>
      <c r="O172">
        <v>0</v>
      </c>
      <c r="P172" s="1">
        <v>0</v>
      </c>
      <c r="Q172">
        <v>4</v>
      </c>
      <c r="R172" s="1">
        <v>4.21</v>
      </c>
      <c r="S172">
        <v>52</v>
      </c>
      <c r="T172" s="1">
        <v>78.73</v>
      </c>
      <c r="U172" s="1">
        <v>38.28</v>
      </c>
      <c r="V172">
        <v>0</v>
      </c>
      <c r="W172" s="1">
        <v>0</v>
      </c>
      <c r="X172">
        <v>16</v>
      </c>
      <c r="Y172" s="1">
        <v>0</v>
      </c>
      <c r="Z172">
        <v>110</v>
      </c>
      <c r="AA172" s="1">
        <v>288.11</v>
      </c>
      <c r="AB172">
        <v>7</v>
      </c>
      <c r="AC172" s="1">
        <v>20.54</v>
      </c>
      <c r="AD172">
        <v>2</v>
      </c>
      <c r="AE172" s="1">
        <v>2.85</v>
      </c>
      <c r="AF172" s="1">
        <v>1</v>
      </c>
      <c r="AG172" s="1">
        <v>1</v>
      </c>
      <c r="AH172" s="1">
        <v>0</v>
      </c>
      <c r="AI172" s="1">
        <v>0</v>
      </c>
      <c r="AJ172" s="1">
        <v>244.35</v>
      </c>
      <c r="AL172" s="1">
        <v>4075.5</v>
      </c>
      <c r="AM172" s="1">
        <v>1</v>
      </c>
      <c r="AN172" s="1">
        <v>689</v>
      </c>
      <c r="AO172" s="1">
        <v>23.34</v>
      </c>
      <c r="AP172" s="1">
        <v>-1.82</v>
      </c>
      <c r="AQ172">
        <v>98</v>
      </c>
      <c r="AR172" s="1">
        <v>714.7</v>
      </c>
      <c r="AS172">
        <v>306</v>
      </c>
      <c r="AT172" s="1">
        <v>2181.42</v>
      </c>
      <c r="AU172">
        <v>9</v>
      </c>
      <c r="AV172" s="1">
        <v>67.12</v>
      </c>
      <c r="AW172">
        <v>5</v>
      </c>
      <c r="AX172" s="1">
        <v>21.17</v>
      </c>
      <c r="AY172">
        <v>60</v>
      </c>
      <c r="AZ172" s="1">
        <v>268.35000000000002</v>
      </c>
      <c r="BE172">
        <v>19</v>
      </c>
      <c r="BF172" s="1">
        <v>101.45</v>
      </c>
      <c r="BG172">
        <v>2</v>
      </c>
      <c r="BH172" s="1">
        <v>15.69</v>
      </c>
      <c r="BK172">
        <v>7</v>
      </c>
      <c r="BL172" s="1">
        <v>46.12</v>
      </c>
      <c r="BP172">
        <v>12</v>
      </c>
      <c r="BQ172" s="1">
        <v>174.73</v>
      </c>
      <c r="BR172" s="1">
        <v>169.43</v>
      </c>
      <c r="BZ172">
        <v>1</v>
      </c>
      <c r="CA172">
        <v>2</v>
      </c>
      <c r="CB172" s="1">
        <v>15.94</v>
      </c>
      <c r="CG172">
        <v>171</v>
      </c>
      <c r="CH172">
        <v>171</v>
      </c>
    </row>
    <row r="173" spans="1:86" x14ac:dyDescent="0.35">
      <c r="A173">
        <v>354030</v>
      </c>
      <c r="B173" s="2">
        <v>44211</v>
      </c>
      <c r="C173" s="2">
        <v>44211</v>
      </c>
      <c r="D173">
        <v>146</v>
      </c>
      <c r="E173" s="1">
        <v>500.44</v>
      </c>
      <c r="F173" s="1">
        <v>1668.48</v>
      </c>
      <c r="G173" s="1">
        <v>766.9</v>
      </c>
      <c r="H173" s="1">
        <v>543.27</v>
      </c>
      <c r="I173" s="1">
        <v>205.83</v>
      </c>
      <c r="J173" s="1">
        <v>3338.54</v>
      </c>
      <c r="K173" s="1">
        <v>200.29</v>
      </c>
      <c r="L173">
        <v>564</v>
      </c>
      <c r="M173" s="1">
        <v>200.29</v>
      </c>
      <c r="N173" s="1">
        <v>3474.86</v>
      </c>
      <c r="O173">
        <v>0</v>
      </c>
      <c r="P173" s="1">
        <v>0</v>
      </c>
      <c r="Q173">
        <v>6</v>
      </c>
      <c r="R173" s="1">
        <v>1.1499999999999999</v>
      </c>
      <c r="S173">
        <v>37</v>
      </c>
      <c r="T173" s="1">
        <v>76.63</v>
      </c>
      <c r="U173" s="1">
        <v>58.54</v>
      </c>
      <c r="V173">
        <v>0</v>
      </c>
      <c r="W173" s="1">
        <v>0</v>
      </c>
      <c r="X173">
        <v>9</v>
      </c>
      <c r="Y173" s="1">
        <v>0</v>
      </c>
      <c r="Z173">
        <v>94</v>
      </c>
      <c r="AA173" s="1">
        <v>232.3</v>
      </c>
      <c r="AB173">
        <v>6</v>
      </c>
      <c r="AC173" s="1">
        <v>5.61</v>
      </c>
      <c r="AD173">
        <v>3</v>
      </c>
      <c r="AE173" s="1">
        <v>1.26</v>
      </c>
      <c r="AF173" s="1">
        <v>0</v>
      </c>
      <c r="AG173" s="1">
        <v>0</v>
      </c>
      <c r="AH173" s="1">
        <v>0</v>
      </c>
      <c r="AI173" s="1">
        <v>0</v>
      </c>
      <c r="AJ173" s="1">
        <v>212.23</v>
      </c>
      <c r="AL173" s="1">
        <v>3538.83</v>
      </c>
      <c r="AM173" s="1">
        <v>0</v>
      </c>
      <c r="AN173" s="1">
        <v>510</v>
      </c>
      <c r="AO173" s="1">
        <v>0</v>
      </c>
      <c r="AP173" s="1">
        <v>13.43</v>
      </c>
      <c r="AQ173">
        <v>86</v>
      </c>
      <c r="AR173" s="1">
        <v>566.26</v>
      </c>
      <c r="AS173">
        <v>231</v>
      </c>
      <c r="AT173" s="1">
        <v>1828.17</v>
      </c>
      <c r="AU173">
        <v>23</v>
      </c>
      <c r="AV173" s="1">
        <v>151.32</v>
      </c>
      <c r="AW173">
        <v>5</v>
      </c>
      <c r="AX173" s="1">
        <v>37.409999999999997</v>
      </c>
      <c r="AY173">
        <v>75</v>
      </c>
      <c r="AZ173" s="1">
        <v>414.34</v>
      </c>
      <c r="BA173">
        <v>1</v>
      </c>
      <c r="BB173" s="1">
        <v>6.55</v>
      </c>
      <c r="BC173">
        <v>1</v>
      </c>
      <c r="BD173" s="1">
        <v>4.0199999999999996</v>
      </c>
      <c r="BE173">
        <v>16</v>
      </c>
      <c r="BF173" s="1">
        <v>114.13</v>
      </c>
      <c r="BG173">
        <v>2</v>
      </c>
      <c r="BH173" s="1">
        <v>8.33</v>
      </c>
      <c r="BK173">
        <v>11</v>
      </c>
      <c r="BL173" s="1">
        <v>73.44</v>
      </c>
      <c r="BM173">
        <v>1</v>
      </c>
      <c r="BN173" s="1">
        <v>4.76</v>
      </c>
      <c r="BO173" s="1">
        <v>4.49</v>
      </c>
      <c r="BP173">
        <v>1</v>
      </c>
      <c r="BQ173" s="1">
        <v>15.19</v>
      </c>
      <c r="BR173" s="1">
        <v>14.33</v>
      </c>
      <c r="BZ173">
        <v>1</v>
      </c>
      <c r="CA173">
        <v>3</v>
      </c>
      <c r="CB173" s="1">
        <v>30.57</v>
      </c>
      <c r="CG173">
        <v>172</v>
      </c>
      <c r="CH173">
        <v>172</v>
      </c>
    </row>
    <row r="174" spans="1:86" x14ac:dyDescent="0.35">
      <c r="A174">
        <v>355439</v>
      </c>
      <c r="B174" s="2">
        <v>44211</v>
      </c>
      <c r="C174" s="2">
        <v>44211</v>
      </c>
      <c r="D174">
        <v>211</v>
      </c>
      <c r="E174" s="1">
        <v>658.87</v>
      </c>
      <c r="F174" s="1">
        <v>2039.08</v>
      </c>
      <c r="G174" s="1">
        <v>751.15</v>
      </c>
      <c r="H174" s="1">
        <v>855.93</v>
      </c>
      <c r="I174" s="1">
        <v>143.72</v>
      </c>
      <c r="J174" s="1">
        <v>4090.94</v>
      </c>
      <c r="K174" s="1">
        <v>0</v>
      </c>
      <c r="L174">
        <v>737</v>
      </c>
      <c r="M174" s="1">
        <v>0</v>
      </c>
      <c r="N174" s="1">
        <v>4247.67</v>
      </c>
      <c r="O174">
        <v>2</v>
      </c>
      <c r="P174" s="1">
        <v>15.86</v>
      </c>
      <c r="Q174">
        <v>10</v>
      </c>
      <c r="R174" s="1">
        <v>3.33</v>
      </c>
      <c r="S174">
        <v>49</v>
      </c>
      <c r="T174" s="1">
        <v>97.66</v>
      </c>
      <c r="U174" s="1">
        <v>39.880000000000003</v>
      </c>
      <c r="V174">
        <v>2</v>
      </c>
      <c r="W174" s="1">
        <v>30</v>
      </c>
      <c r="X174">
        <v>22</v>
      </c>
      <c r="Y174" s="1">
        <v>0</v>
      </c>
      <c r="Z174">
        <v>132</v>
      </c>
      <c r="AA174" s="1">
        <v>358.54</v>
      </c>
      <c r="AB174">
        <v>17</v>
      </c>
      <c r="AC174" s="1">
        <v>55.51</v>
      </c>
      <c r="AD174">
        <v>6</v>
      </c>
      <c r="AE174" s="1">
        <v>24.82</v>
      </c>
      <c r="AF174" s="1">
        <v>0</v>
      </c>
      <c r="AG174" s="1">
        <v>0</v>
      </c>
      <c r="AH174" s="1">
        <v>0</v>
      </c>
      <c r="AI174" s="1">
        <v>0</v>
      </c>
      <c r="AJ174" s="1">
        <v>327.44</v>
      </c>
      <c r="AL174" s="1">
        <v>4090.94</v>
      </c>
      <c r="AM174" s="1">
        <v>0</v>
      </c>
      <c r="AN174" s="1">
        <v>714</v>
      </c>
      <c r="AO174" s="1">
        <v>0</v>
      </c>
      <c r="AP174" s="1">
        <v>-0.76</v>
      </c>
      <c r="AQ174">
        <v>110</v>
      </c>
      <c r="AR174" s="1">
        <v>692.93</v>
      </c>
      <c r="AS174">
        <v>318</v>
      </c>
      <c r="AT174" s="1">
        <v>2121.7600000000002</v>
      </c>
      <c r="AU174">
        <v>28</v>
      </c>
      <c r="AV174" s="1">
        <v>184.41</v>
      </c>
      <c r="AW174">
        <v>7</v>
      </c>
      <c r="AX174" s="1">
        <v>52.89</v>
      </c>
      <c r="AY174">
        <v>69</v>
      </c>
      <c r="AZ174" s="1">
        <v>376.88</v>
      </c>
      <c r="BA174">
        <v>1</v>
      </c>
      <c r="BB174" s="1">
        <v>5.16</v>
      </c>
      <c r="BE174">
        <v>20</v>
      </c>
      <c r="BF174" s="1">
        <v>96.71</v>
      </c>
      <c r="BG174">
        <v>3</v>
      </c>
      <c r="BH174" s="1">
        <v>21.15</v>
      </c>
      <c r="BK174">
        <v>16</v>
      </c>
      <c r="BL174" s="1">
        <v>117.3</v>
      </c>
      <c r="BM174">
        <v>1</v>
      </c>
      <c r="BN174" s="1">
        <v>10.99</v>
      </c>
      <c r="BO174" s="1">
        <v>10.18</v>
      </c>
      <c r="BZ174">
        <v>1</v>
      </c>
      <c r="CA174">
        <v>5</v>
      </c>
      <c r="CB174" s="1">
        <v>53.44</v>
      </c>
      <c r="CG174">
        <v>173</v>
      </c>
      <c r="CH174">
        <v>173</v>
      </c>
    </row>
    <row r="175" spans="1:86" x14ac:dyDescent="0.35">
      <c r="A175">
        <v>350432</v>
      </c>
      <c r="B175" s="2">
        <v>44212</v>
      </c>
      <c r="C175" s="2">
        <v>44212</v>
      </c>
      <c r="D175">
        <v>186</v>
      </c>
      <c r="E175" s="1">
        <v>615.77</v>
      </c>
      <c r="F175" s="1">
        <v>2155.4</v>
      </c>
      <c r="G175" s="1">
        <v>723.12</v>
      </c>
      <c r="H175" s="1">
        <v>1001.93</v>
      </c>
      <c r="I175" s="1">
        <v>135.41</v>
      </c>
      <c r="J175" s="1">
        <v>4349.17</v>
      </c>
      <c r="K175" s="1">
        <v>709.14</v>
      </c>
      <c r="L175">
        <v>766</v>
      </c>
      <c r="M175" s="1">
        <v>716.47</v>
      </c>
      <c r="N175" s="1">
        <v>4482.1499999999996</v>
      </c>
      <c r="O175">
        <v>1</v>
      </c>
      <c r="P175" s="1">
        <v>4.29</v>
      </c>
      <c r="Q175">
        <v>8</v>
      </c>
      <c r="R175" s="1">
        <v>5.37</v>
      </c>
      <c r="S175">
        <v>49</v>
      </c>
      <c r="T175" s="1">
        <v>84.49</v>
      </c>
      <c r="U175" s="1">
        <v>46.16</v>
      </c>
      <c r="V175">
        <v>0</v>
      </c>
      <c r="W175" s="1">
        <v>0</v>
      </c>
      <c r="X175">
        <v>13</v>
      </c>
      <c r="Y175" s="1">
        <v>0</v>
      </c>
      <c r="Z175">
        <v>153</v>
      </c>
      <c r="AA175" s="1">
        <v>500.49</v>
      </c>
      <c r="AB175">
        <v>37</v>
      </c>
      <c r="AC175" s="1">
        <v>86.16</v>
      </c>
      <c r="AD175">
        <v>3</v>
      </c>
      <c r="AE175" s="1">
        <v>2.6</v>
      </c>
      <c r="AF175" s="1">
        <v>0</v>
      </c>
      <c r="AG175" s="1">
        <v>0</v>
      </c>
      <c r="AH175" s="1">
        <v>0</v>
      </c>
      <c r="AI175" s="1">
        <v>0</v>
      </c>
      <c r="AJ175" s="1">
        <v>449.87</v>
      </c>
      <c r="AL175" s="1">
        <v>5058.3100000000004</v>
      </c>
      <c r="AM175" s="1">
        <v>0</v>
      </c>
      <c r="AN175" s="1">
        <v>815</v>
      </c>
      <c r="AO175" s="1">
        <v>0</v>
      </c>
      <c r="AP175" s="1">
        <v>10.52</v>
      </c>
      <c r="AQ175">
        <v>118</v>
      </c>
      <c r="AR175" s="1">
        <v>996.59</v>
      </c>
      <c r="AS175">
        <v>328</v>
      </c>
      <c r="AT175" s="1">
        <v>2433.5300000000002</v>
      </c>
      <c r="AU175">
        <v>43</v>
      </c>
      <c r="AV175" s="1">
        <v>434.82</v>
      </c>
      <c r="AW175">
        <v>15</v>
      </c>
      <c r="AX175" s="1">
        <v>99.12</v>
      </c>
      <c r="AY175">
        <v>57</v>
      </c>
      <c r="AZ175" s="1">
        <v>293.72000000000003</v>
      </c>
      <c r="BA175">
        <v>1</v>
      </c>
      <c r="BB175" s="1">
        <v>5</v>
      </c>
      <c r="BC175">
        <v>1</v>
      </c>
      <c r="BD175" s="1">
        <v>19.3</v>
      </c>
      <c r="BE175">
        <v>12</v>
      </c>
      <c r="BF175" s="1">
        <v>52.76</v>
      </c>
      <c r="BG175">
        <v>7</v>
      </c>
      <c r="BH175" s="1">
        <v>48.68</v>
      </c>
      <c r="BK175">
        <v>7</v>
      </c>
      <c r="BL175" s="1">
        <v>47.11</v>
      </c>
      <c r="BP175">
        <v>14</v>
      </c>
      <c r="BQ175" s="1">
        <v>193.53</v>
      </c>
      <c r="BR175" s="1">
        <v>174.43</v>
      </c>
      <c r="BZ175">
        <v>1</v>
      </c>
      <c r="CA175">
        <v>6</v>
      </c>
      <c r="CB175" s="1">
        <v>79.540000000000006</v>
      </c>
      <c r="CG175">
        <v>174</v>
      </c>
      <c r="CH175">
        <v>174</v>
      </c>
    </row>
    <row r="176" spans="1:86" x14ac:dyDescent="0.35">
      <c r="A176">
        <v>350437</v>
      </c>
      <c r="B176" s="2">
        <v>44212</v>
      </c>
      <c r="C176" s="2">
        <v>44212</v>
      </c>
      <c r="D176">
        <v>123</v>
      </c>
      <c r="E176" s="1">
        <v>387.51</v>
      </c>
      <c r="F176" s="1">
        <v>1235.0899999999999</v>
      </c>
      <c r="G176" s="1">
        <v>610.76</v>
      </c>
      <c r="H176" s="1">
        <v>721.97</v>
      </c>
      <c r="I176" s="1">
        <v>85.3</v>
      </c>
      <c r="J176" s="1">
        <v>2818.89</v>
      </c>
      <c r="K176" s="1">
        <v>0</v>
      </c>
      <c r="L176">
        <v>441</v>
      </c>
      <c r="M176" s="1">
        <v>0</v>
      </c>
      <c r="N176" s="1">
        <v>2911.67</v>
      </c>
      <c r="O176">
        <v>0</v>
      </c>
      <c r="P176" s="1">
        <v>0</v>
      </c>
      <c r="Q176">
        <v>11</v>
      </c>
      <c r="R176" s="1">
        <v>2.59</v>
      </c>
      <c r="S176">
        <v>30</v>
      </c>
      <c r="T176" s="1">
        <v>55.17</v>
      </c>
      <c r="U176" s="1">
        <v>35.020000000000003</v>
      </c>
      <c r="V176">
        <v>0</v>
      </c>
      <c r="W176" s="1">
        <v>0</v>
      </c>
      <c r="X176">
        <v>14</v>
      </c>
      <c r="Y176" s="1">
        <v>0</v>
      </c>
      <c r="Z176">
        <v>55</v>
      </c>
      <c r="AA176" s="1">
        <v>140.38999999999999</v>
      </c>
      <c r="AB176">
        <v>0</v>
      </c>
      <c r="AC176" s="1">
        <v>0</v>
      </c>
      <c r="AD176">
        <v>1</v>
      </c>
      <c r="AE176" s="1">
        <v>5.82</v>
      </c>
      <c r="AF176" s="1">
        <v>0</v>
      </c>
      <c r="AG176" s="1">
        <v>0</v>
      </c>
      <c r="AH176" s="1">
        <v>0</v>
      </c>
      <c r="AI176" s="1">
        <v>0</v>
      </c>
      <c r="AJ176" s="1">
        <v>250.76</v>
      </c>
      <c r="AL176" s="1">
        <v>2818.89</v>
      </c>
      <c r="AM176" s="1">
        <v>0</v>
      </c>
      <c r="AN176" s="1">
        <v>815</v>
      </c>
      <c r="AO176" s="1">
        <v>0</v>
      </c>
      <c r="AP176" s="1">
        <v>434.06</v>
      </c>
      <c r="AQ176">
        <v>47</v>
      </c>
      <c r="AR176" s="1">
        <v>426.04</v>
      </c>
      <c r="AS176">
        <v>187</v>
      </c>
      <c r="AT176" s="1">
        <v>1305.29</v>
      </c>
      <c r="AU176">
        <v>48</v>
      </c>
      <c r="AV176" s="1">
        <v>424.86</v>
      </c>
      <c r="AW176">
        <v>9</v>
      </c>
      <c r="AX176" s="1">
        <v>50.28</v>
      </c>
      <c r="AY176">
        <v>46</v>
      </c>
      <c r="AZ176" s="1">
        <v>200.23</v>
      </c>
      <c r="BC176">
        <v>1</v>
      </c>
      <c r="BD176" s="1">
        <v>6.08</v>
      </c>
      <c r="BE176">
        <v>5</v>
      </c>
      <c r="BF176" s="1">
        <v>21.54</v>
      </c>
      <c r="BG176">
        <v>4</v>
      </c>
      <c r="BH176" s="1">
        <v>28.94</v>
      </c>
      <c r="BK176">
        <v>6</v>
      </c>
      <c r="BL176" s="1">
        <v>56.63</v>
      </c>
      <c r="BP176">
        <v>6</v>
      </c>
      <c r="BQ176" s="1">
        <v>84.88</v>
      </c>
      <c r="BR176" s="1">
        <v>97.88</v>
      </c>
      <c r="BZ176">
        <v>1</v>
      </c>
      <c r="CA176">
        <v>4</v>
      </c>
      <c r="CB176" s="1">
        <v>83.94</v>
      </c>
      <c r="CG176">
        <v>175</v>
      </c>
      <c r="CH176">
        <v>175</v>
      </c>
    </row>
    <row r="177" spans="1:86" x14ac:dyDescent="0.35">
      <c r="A177">
        <v>351323</v>
      </c>
      <c r="B177" s="2">
        <v>44212</v>
      </c>
      <c r="C177" s="2">
        <v>44212</v>
      </c>
      <c r="D177">
        <v>169</v>
      </c>
      <c r="E177" s="1">
        <v>565.65</v>
      </c>
      <c r="F177" s="1">
        <v>1791.2</v>
      </c>
      <c r="G177" s="1">
        <v>644.14</v>
      </c>
      <c r="H177" s="1">
        <v>760.76</v>
      </c>
      <c r="I177" s="1">
        <v>128.05000000000001</v>
      </c>
      <c r="J177" s="1">
        <v>3521.4</v>
      </c>
      <c r="K177" s="1">
        <v>441.88</v>
      </c>
      <c r="L177">
        <v>613</v>
      </c>
      <c r="M177" s="1">
        <v>447.3</v>
      </c>
      <c r="N177" s="1">
        <v>3634.11</v>
      </c>
      <c r="O177">
        <v>2</v>
      </c>
      <c r="P177" s="1">
        <v>11.54</v>
      </c>
      <c r="Q177">
        <v>6</v>
      </c>
      <c r="R177" s="1">
        <v>1.48</v>
      </c>
      <c r="S177">
        <v>45</v>
      </c>
      <c r="T177" s="1">
        <v>76.38</v>
      </c>
      <c r="U177" s="1">
        <v>28.73</v>
      </c>
      <c r="V177">
        <v>1</v>
      </c>
      <c r="W177" s="1">
        <v>10</v>
      </c>
      <c r="X177">
        <v>12</v>
      </c>
      <c r="Y177" s="1">
        <v>0</v>
      </c>
      <c r="Z177">
        <v>103</v>
      </c>
      <c r="AA177" s="1">
        <v>397.34</v>
      </c>
      <c r="AB177">
        <v>18</v>
      </c>
      <c r="AC177" s="1">
        <v>54.97</v>
      </c>
      <c r="AD177">
        <v>11</v>
      </c>
      <c r="AE177" s="1">
        <v>65.459999999999994</v>
      </c>
      <c r="AF177" s="1">
        <v>0</v>
      </c>
      <c r="AG177" s="1">
        <v>0</v>
      </c>
      <c r="AH177" s="1">
        <v>0</v>
      </c>
      <c r="AI177" s="1">
        <v>0</v>
      </c>
      <c r="AJ177" s="1">
        <v>237.64</v>
      </c>
      <c r="AL177" s="1">
        <v>3963.28</v>
      </c>
      <c r="AM177" s="1">
        <v>0</v>
      </c>
      <c r="AN177" s="1">
        <v>816</v>
      </c>
      <c r="AO177" s="1">
        <v>0</v>
      </c>
      <c r="AP177" s="1">
        <v>-14.49</v>
      </c>
      <c r="AQ177">
        <v>95</v>
      </c>
      <c r="AR177" s="1">
        <v>629.04</v>
      </c>
      <c r="AS177">
        <v>278</v>
      </c>
      <c r="AT177" s="1">
        <v>1970.15</v>
      </c>
      <c r="AU177">
        <v>13</v>
      </c>
      <c r="AV177" s="1">
        <v>101.1</v>
      </c>
      <c r="AW177">
        <v>10</v>
      </c>
      <c r="AX177" s="1">
        <v>103.12</v>
      </c>
      <c r="AY177">
        <v>64</v>
      </c>
      <c r="AZ177" s="1">
        <v>339.41</v>
      </c>
      <c r="BA177">
        <v>1</v>
      </c>
      <c r="BB177" s="1">
        <v>3.12</v>
      </c>
      <c r="BE177">
        <v>7</v>
      </c>
      <c r="BF177" s="1">
        <v>46.55</v>
      </c>
      <c r="BG177">
        <v>3</v>
      </c>
      <c r="BH177" s="1">
        <v>13.82</v>
      </c>
      <c r="BK177">
        <v>4</v>
      </c>
      <c r="BL177" s="1">
        <v>41.56</v>
      </c>
      <c r="BM177">
        <v>2</v>
      </c>
      <c r="BN177" s="1">
        <v>31.28</v>
      </c>
      <c r="BO177" s="1">
        <v>29.51</v>
      </c>
      <c r="BP177">
        <v>5</v>
      </c>
      <c r="BQ177" s="1">
        <v>68.5</v>
      </c>
      <c r="BR177" s="1">
        <v>58.8</v>
      </c>
      <c r="BZ177">
        <v>1</v>
      </c>
      <c r="CA177">
        <v>1</v>
      </c>
      <c r="CB177" s="1">
        <v>32.78</v>
      </c>
      <c r="CG177">
        <v>176</v>
      </c>
      <c r="CH177">
        <v>176</v>
      </c>
    </row>
    <row r="178" spans="1:86" x14ac:dyDescent="0.35">
      <c r="A178">
        <v>353927</v>
      </c>
      <c r="B178" s="2">
        <v>44212</v>
      </c>
      <c r="C178" s="2">
        <v>44212</v>
      </c>
      <c r="D178">
        <v>156</v>
      </c>
      <c r="E178" s="1">
        <v>532.04999999999995</v>
      </c>
      <c r="F178" s="1">
        <v>1882.66</v>
      </c>
      <c r="G178" s="1">
        <v>812.85</v>
      </c>
      <c r="H178" s="1">
        <v>894.09</v>
      </c>
      <c r="I178" s="1">
        <v>111.05</v>
      </c>
      <c r="J178" s="1">
        <v>3909.34</v>
      </c>
      <c r="K178" s="1">
        <v>0</v>
      </c>
      <c r="L178">
        <v>546</v>
      </c>
      <c r="M178" s="1">
        <v>0</v>
      </c>
      <c r="N178" s="1">
        <v>4061.41</v>
      </c>
      <c r="O178">
        <v>3</v>
      </c>
      <c r="P178" s="1">
        <v>43.25</v>
      </c>
      <c r="Q178">
        <v>2</v>
      </c>
      <c r="R178" s="1">
        <v>2.1</v>
      </c>
      <c r="S178">
        <v>37</v>
      </c>
      <c r="T178" s="1">
        <v>57.98</v>
      </c>
      <c r="U178" s="1">
        <v>48.74</v>
      </c>
      <c r="V178">
        <v>0</v>
      </c>
      <c r="W178" s="1">
        <v>0</v>
      </c>
      <c r="X178">
        <v>8</v>
      </c>
      <c r="Y178" s="1">
        <v>0</v>
      </c>
      <c r="Z178">
        <v>113</v>
      </c>
      <c r="AA178" s="1">
        <v>340.55</v>
      </c>
      <c r="AB178">
        <v>14</v>
      </c>
      <c r="AC178" s="1">
        <v>49.29</v>
      </c>
      <c r="AD178">
        <v>2</v>
      </c>
      <c r="AE178" s="1">
        <v>0</v>
      </c>
      <c r="AF178" s="1">
        <v>0</v>
      </c>
      <c r="AG178" s="1">
        <v>0</v>
      </c>
      <c r="AH178" s="1">
        <v>0</v>
      </c>
      <c r="AI178" s="1">
        <v>0</v>
      </c>
      <c r="AJ178" s="1">
        <v>234.52</v>
      </c>
      <c r="AL178" s="1">
        <v>3909.34</v>
      </c>
      <c r="AM178" s="1">
        <v>0</v>
      </c>
      <c r="AN178" s="1">
        <v>971</v>
      </c>
      <c r="AO178" s="1">
        <v>0</v>
      </c>
      <c r="AP178" s="1">
        <v>-1.85</v>
      </c>
      <c r="AQ178">
        <v>79</v>
      </c>
      <c r="AR178" s="1">
        <v>637.45000000000005</v>
      </c>
      <c r="AS178">
        <v>246</v>
      </c>
      <c r="AT178" s="1">
        <v>2040.75</v>
      </c>
      <c r="AU178">
        <v>8</v>
      </c>
      <c r="AV178" s="1">
        <v>59.29</v>
      </c>
      <c r="AW178">
        <v>5</v>
      </c>
      <c r="AX178" s="1">
        <v>44.13</v>
      </c>
      <c r="AY178">
        <v>49</v>
      </c>
      <c r="AZ178" s="1">
        <v>224.36</v>
      </c>
      <c r="BE178">
        <v>9</v>
      </c>
      <c r="BF178" s="1">
        <v>57.12</v>
      </c>
      <c r="BG178">
        <v>2</v>
      </c>
      <c r="BH178" s="1">
        <v>12.2</v>
      </c>
      <c r="BK178">
        <v>2</v>
      </c>
      <c r="BL178" s="1">
        <v>20.350000000000001</v>
      </c>
      <c r="BM178">
        <v>1</v>
      </c>
      <c r="BN178" s="1">
        <v>7.29</v>
      </c>
      <c r="BO178" s="1">
        <v>6.88</v>
      </c>
      <c r="BP178">
        <v>3</v>
      </c>
      <c r="BQ178" s="1">
        <v>24.72</v>
      </c>
      <c r="BR178" s="1">
        <v>40.75</v>
      </c>
      <c r="BZ178">
        <v>1</v>
      </c>
      <c r="CA178">
        <v>4</v>
      </c>
      <c r="CB178" s="1">
        <v>43.35</v>
      </c>
      <c r="CG178">
        <v>177</v>
      </c>
      <c r="CH178">
        <v>177</v>
      </c>
    </row>
    <row r="179" spans="1:86" x14ac:dyDescent="0.35">
      <c r="A179">
        <v>354030</v>
      </c>
      <c r="B179" s="2">
        <v>44212</v>
      </c>
      <c r="C179" s="2">
        <v>44212</v>
      </c>
      <c r="D179">
        <v>147</v>
      </c>
      <c r="E179" s="1">
        <v>494.31</v>
      </c>
      <c r="F179" s="1">
        <v>1656</v>
      </c>
      <c r="G179" s="1">
        <v>1019.19</v>
      </c>
      <c r="H179" s="1">
        <v>789.32</v>
      </c>
      <c r="I179" s="1">
        <v>133.80000000000001</v>
      </c>
      <c r="J179" s="1">
        <v>3797.92</v>
      </c>
      <c r="K179" s="1">
        <v>207.61</v>
      </c>
      <c r="L179">
        <v>531</v>
      </c>
      <c r="M179" s="1">
        <v>209.8</v>
      </c>
      <c r="N179" s="1">
        <v>3983.45</v>
      </c>
      <c r="O179">
        <v>0</v>
      </c>
      <c r="P179" s="1">
        <v>0</v>
      </c>
      <c r="Q179">
        <v>4</v>
      </c>
      <c r="R179" s="1">
        <v>3.38</v>
      </c>
      <c r="S179">
        <v>47</v>
      </c>
      <c r="T179" s="1">
        <v>93.37</v>
      </c>
      <c r="U179" s="1">
        <v>90.97</v>
      </c>
      <c r="V179">
        <v>0</v>
      </c>
      <c r="W179" s="1">
        <v>0</v>
      </c>
      <c r="X179">
        <v>4</v>
      </c>
      <c r="Y179" s="1">
        <v>0</v>
      </c>
      <c r="Z179">
        <v>110</v>
      </c>
      <c r="AA179" s="1">
        <v>318.04000000000002</v>
      </c>
      <c r="AB179">
        <v>10</v>
      </c>
      <c r="AC179" s="1">
        <v>27.29</v>
      </c>
      <c r="AD179">
        <v>2</v>
      </c>
      <c r="AE179" s="1">
        <v>0</v>
      </c>
      <c r="AF179" s="1">
        <v>0</v>
      </c>
      <c r="AG179" s="1">
        <v>0</v>
      </c>
      <c r="AH179" s="1">
        <v>0</v>
      </c>
      <c r="AI179" s="1">
        <v>0</v>
      </c>
      <c r="AJ179" s="1">
        <v>240.24</v>
      </c>
      <c r="AL179" s="1">
        <v>4005.53</v>
      </c>
      <c r="AM179" s="1">
        <v>0</v>
      </c>
      <c r="AN179" s="1">
        <v>610</v>
      </c>
      <c r="AO179" s="1">
        <v>0</v>
      </c>
      <c r="AP179" s="1">
        <v>-6.81</v>
      </c>
      <c r="AQ179">
        <v>78</v>
      </c>
      <c r="AR179" s="1">
        <v>700.89</v>
      </c>
      <c r="AS179">
        <v>224</v>
      </c>
      <c r="AT179" s="1">
        <v>1972.86</v>
      </c>
      <c r="AU179">
        <v>19</v>
      </c>
      <c r="AV179" s="1">
        <v>163.96</v>
      </c>
      <c r="AW179">
        <v>3</v>
      </c>
      <c r="AX179" s="1">
        <v>26.6</v>
      </c>
      <c r="AY179">
        <v>68</v>
      </c>
      <c r="AZ179" s="1">
        <v>437.66</v>
      </c>
      <c r="BA179">
        <v>1</v>
      </c>
      <c r="BB179" s="1">
        <v>7.08</v>
      </c>
      <c r="BE179">
        <v>16</v>
      </c>
      <c r="BF179" s="1">
        <v>148.19</v>
      </c>
      <c r="BK179">
        <v>9</v>
      </c>
      <c r="BL179" s="1">
        <v>58.4</v>
      </c>
      <c r="BP179">
        <v>5</v>
      </c>
      <c r="BQ179" s="1">
        <v>77.260000000000005</v>
      </c>
      <c r="BR179" s="1">
        <v>89.54</v>
      </c>
      <c r="BZ179">
        <v>1</v>
      </c>
      <c r="CA179">
        <v>2</v>
      </c>
      <c r="CB179" s="1">
        <v>36.06</v>
      </c>
      <c r="CG179">
        <v>178</v>
      </c>
      <c r="CH179">
        <v>178</v>
      </c>
    </row>
    <row r="180" spans="1:86" x14ac:dyDescent="0.35">
      <c r="A180">
        <v>355439</v>
      </c>
      <c r="B180" s="2">
        <v>44212</v>
      </c>
      <c r="C180" s="2">
        <v>44212</v>
      </c>
      <c r="D180">
        <v>196</v>
      </c>
      <c r="E180" s="1">
        <v>643.97</v>
      </c>
      <c r="F180" s="1">
        <v>1851.65</v>
      </c>
      <c r="G180" s="1">
        <v>952.37</v>
      </c>
      <c r="H180" s="1">
        <v>796.36</v>
      </c>
      <c r="I180" s="1">
        <v>117.59</v>
      </c>
      <c r="J180" s="1">
        <v>3956.84</v>
      </c>
      <c r="K180" s="1">
        <v>0</v>
      </c>
      <c r="L180">
        <v>665</v>
      </c>
      <c r="M180" s="1">
        <v>0</v>
      </c>
      <c r="N180" s="1">
        <v>4116.26</v>
      </c>
      <c r="O180">
        <v>4</v>
      </c>
      <c r="P180" s="1">
        <v>26</v>
      </c>
      <c r="Q180">
        <v>12</v>
      </c>
      <c r="R180" s="1">
        <v>3.26</v>
      </c>
      <c r="S180">
        <v>51</v>
      </c>
      <c r="T180" s="1">
        <v>87.92</v>
      </c>
      <c r="U180" s="1">
        <v>42.24</v>
      </c>
      <c r="V180">
        <v>2</v>
      </c>
      <c r="W180" s="1">
        <v>30</v>
      </c>
      <c r="X180">
        <v>19</v>
      </c>
      <c r="Y180" s="1">
        <v>0</v>
      </c>
      <c r="Z180">
        <v>111</v>
      </c>
      <c r="AA180" s="1">
        <v>325.06</v>
      </c>
      <c r="AB180">
        <v>11</v>
      </c>
      <c r="AC180" s="1">
        <v>51.5</v>
      </c>
      <c r="AD180">
        <v>2</v>
      </c>
      <c r="AE180" s="1">
        <v>11.53</v>
      </c>
      <c r="AF180" s="1">
        <v>0</v>
      </c>
      <c r="AG180" s="1">
        <v>0</v>
      </c>
      <c r="AH180" s="1">
        <v>0</v>
      </c>
      <c r="AI180" s="1">
        <v>0</v>
      </c>
      <c r="AJ180" s="1">
        <v>316.74</v>
      </c>
      <c r="AL180" s="1">
        <v>3956.84</v>
      </c>
      <c r="AM180" s="1">
        <v>0</v>
      </c>
      <c r="AN180" s="1">
        <v>586</v>
      </c>
      <c r="AO180" s="1">
        <v>0</v>
      </c>
      <c r="AP180" s="1">
        <v>-6.63</v>
      </c>
      <c r="AQ180">
        <v>105</v>
      </c>
      <c r="AR180" s="1">
        <v>675.72</v>
      </c>
      <c r="AS180">
        <v>293</v>
      </c>
      <c r="AT180" s="1">
        <v>2152.67</v>
      </c>
      <c r="AU180">
        <v>24</v>
      </c>
      <c r="AV180" s="1">
        <v>189.11</v>
      </c>
      <c r="AW180">
        <v>5</v>
      </c>
      <c r="AX180" s="1">
        <v>63.67</v>
      </c>
      <c r="AY180">
        <v>56</v>
      </c>
      <c r="AZ180" s="1">
        <v>307.64999999999998</v>
      </c>
      <c r="BA180">
        <v>2</v>
      </c>
      <c r="BB180" s="1">
        <v>16.649999999999999</v>
      </c>
      <c r="BC180">
        <v>3</v>
      </c>
      <c r="BD180" s="1">
        <v>26.29</v>
      </c>
      <c r="BE180">
        <v>12</v>
      </c>
      <c r="BF180" s="1">
        <v>67.92</v>
      </c>
      <c r="BG180">
        <v>2</v>
      </c>
      <c r="BH180" s="1">
        <v>7.75</v>
      </c>
      <c r="BK180">
        <v>15</v>
      </c>
      <c r="BL180" s="1">
        <v>125.7</v>
      </c>
      <c r="BP180">
        <v>1</v>
      </c>
      <c r="BQ180" s="1">
        <v>14.71</v>
      </c>
      <c r="BR180" s="1">
        <v>13.62</v>
      </c>
      <c r="BZ180">
        <v>1</v>
      </c>
      <c r="CA180">
        <v>4</v>
      </c>
      <c r="CB180" s="1">
        <v>63.11</v>
      </c>
      <c r="CG180">
        <v>179</v>
      </c>
      <c r="CH180">
        <v>179</v>
      </c>
    </row>
    <row r="181" spans="1:86" x14ac:dyDescent="0.35">
      <c r="A181">
        <v>359606</v>
      </c>
      <c r="B181" s="2">
        <v>44212</v>
      </c>
      <c r="C181" s="2">
        <v>44212</v>
      </c>
      <c r="D181">
        <v>46</v>
      </c>
      <c r="E181">
        <v>162.24</v>
      </c>
      <c r="F181">
        <v>734.92000000000007</v>
      </c>
      <c r="G181">
        <v>266.16000000000003</v>
      </c>
      <c r="H181">
        <v>583.63</v>
      </c>
      <c r="I181">
        <v>53.239999999999995</v>
      </c>
      <c r="J181">
        <v>1657.0299999999997</v>
      </c>
      <c r="K181">
        <v>42.230000000000004</v>
      </c>
      <c r="L181">
        <v>260</v>
      </c>
      <c r="M181">
        <v>46.21</v>
      </c>
      <c r="N181">
        <v>1737.7499999999998</v>
      </c>
      <c r="O181">
        <v>0</v>
      </c>
      <c r="P181">
        <v>0</v>
      </c>
      <c r="R181">
        <v>84.7</v>
      </c>
      <c r="V181">
        <v>0</v>
      </c>
      <c r="W181">
        <v>0</v>
      </c>
      <c r="X181">
        <v>0</v>
      </c>
      <c r="Y181">
        <v>0</v>
      </c>
      <c r="Z181">
        <v>31</v>
      </c>
      <c r="AA181">
        <v>64.53</v>
      </c>
      <c r="AB181">
        <v>3</v>
      </c>
      <c r="AC181">
        <v>10.6</v>
      </c>
      <c r="AD181">
        <v>0</v>
      </c>
      <c r="AE181">
        <v>0</v>
      </c>
      <c r="AH181">
        <v>0</v>
      </c>
      <c r="AJ181">
        <v>151.15</v>
      </c>
      <c r="AN181">
        <v>145</v>
      </c>
      <c r="AO181">
        <v>0</v>
      </c>
      <c r="AP181">
        <v>-0.78000000000000114</v>
      </c>
      <c r="AQ181">
        <v>38</v>
      </c>
      <c r="AR181">
        <v>363.14</v>
      </c>
      <c r="AS181">
        <v>126</v>
      </c>
      <c r="AT181">
        <v>891.98</v>
      </c>
      <c r="AU181">
        <v>18</v>
      </c>
      <c r="AV181">
        <v>119.71</v>
      </c>
      <c r="AW181">
        <v>7</v>
      </c>
      <c r="AX181">
        <v>65.08</v>
      </c>
      <c r="AY181">
        <v>35</v>
      </c>
      <c r="AZ181">
        <v>199.66</v>
      </c>
      <c r="BP181">
        <v>2</v>
      </c>
      <c r="BQ181">
        <v>42.59</v>
      </c>
      <c r="BR181">
        <v>39.11</v>
      </c>
      <c r="BS181">
        <v>1699.26</v>
      </c>
      <c r="BV181">
        <v>9.5199999999999818</v>
      </c>
      <c r="BW181">
        <v>9.52</v>
      </c>
      <c r="BZ181">
        <v>1</v>
      </c>
      <c r="CA181">
        <v>3</v>
      </c>
      <c r="CB181">
        <v>22.47</v>
      </c>
      <c r="CG181">
        <v>180</v>
      </c>
      <c r="CH181">
        <v>180</v>
      </c>
    </row>
    <row r="182" spans="1:86" x14ac:dyDescent="0.35">
      <c r="A182">
        <v>358682</v>
      </c>
      <c r="B182" s="2">
        <v>44212</v>
      </c>
      <c r="C182" s="2">
        <v>44212</v>
      </c>
      <c r="D182">
        <v>78</v>
      </c>
      <c r="E182">
        <v>274.91999999999996</v>
      </c>
      <c r="F182">
        <v>846.00999999999988</v>
      </c>
      <c r="G182">
        <v>149.35</v>
      </c>
      <c r="H182">
        <v>556.29</v>
      </c>
      <c r="I182">
        <v>66.930000000000007</v>
      </c>
      <c r="J182">
        <v>1628.3699999999997</v>
      </c>
      <c r="K182">
        <v>80.36</v>
      </c>
      <c r="L182">
        <v>262</v>
      </c>
      <c r="M182">
        <v>81.61</v>
      </c>
      <c r="N182">
        <v>1740.0499999999997</v>
      </c>
      <c r="O182">
        <v>0</v>
      </c>
      <c r="P182">
        <v>0</v>
      </c>
      <c r="R182">
        <v>112.93</v>
      </c>
      <c r="V182">
        <v>0</v>
      </c>
      <c r="W182">
        <v>0</v>
      </c>
      <c r="X182">
        <v>0</v>
      </c>
      <c r="Y182">
        <v>0</v>
      </c>
      <c r="Z182">
        <v>48</v>
      </c>
      <c r="AA182">
        <v>153.09</v>
      </c>
      <c r="AB182">
        <v>5</v>
      </c>
      <c r="AC182">
        <v>31.36</v>
      </c>
      <c r="AD182">
        <v>11</v>
      </c>
      <c r="AE182">
        <v>27.59</v>
      </c>
      <c r="AH182">
        <v>0</v>
      </c>
      <c r="AJ182">
        <v>151.97999999999999</v>
      </c>
      <c r="AN182">
        <v>306.37</v>
      </c>
      <c r="AO182">
        <v>77.290000000000006</v>
      </c>
      <c r="AP182">
        <v>-3.5199999999999818</v>
      </c>
      <c r="AQ182">
        <v>29</v>
      </c>
      <c r="AR182">
        <v>228.19</v>
      </c>
      <c r="AS182">
        <v>95</v>
      </c>
      <c r="AT182">
        <v>719.86</v>
      </c>
      <c r="AU182">
        <v>20</v>
      </c>
      <c r="AV182">
        <v>170.88</v>
      </c>
      <c r="AW182">
        <v>5</v>
      </c>
      <c r="AX182">
        <v>26.93</v>
      </c>
      <c r="AY182">
        <v>45</v>
      </c>
      <c r="AZ182">
        <v>231.4</v>
      </c>
      <c r="BP182">
        <v>9</v>
      </c>
      <c r="BQ182">
        <v>105.07</v>
      </c>
      <c r="BR182">
        <v>96.49</v>
      </c>
      <c r="BS182">
        <v>1716.81</v>
      </c>
      <c r="BV182">
        <v>-17.599999999999909</v>
      </c>
      <c r="BW182">
        <v>-8.8000000000000007</v>
      </c>
      <c r="BZ182">
        <v>1</v>
      </c>
      <c r="CG182">
        <v>181</v>
      </c>
      <c r="CH182">
        <v>181</v>
      </c>
    </row>
    <row r="183" spans="1:86" x14ac:dyDescent="0.35">
      <c r="A183">
        <v>357150</v>
      </c>
      <c r="B183" s="2">
        <v>44212</v>
      </c>
      <c r="C183" s="2">
        <v>44212</v>
      </c>
      <c r="D183">
        <v>153</v>
      </c>
      <c r="E183">
        <v>563.97</v>
      </c>
      <c r="F183">
        <v>1668.7200000000003</v>
      </c>
      <c r="G183">
        <v>476.13</v>
      </c>
      <c r="H183">
        <v>468.81</v>
      </c>
      <c r="I183">
        <v>84.46</v>
      </c>
      <c r="J183">
        <v>2833.23</v>
      </c>
      <c r="K183">
        <v>152.25</v>
      </c>
      <c r="L183">
        <v>470</v>
      </c>
      <c r="M183">
        <v>157.85</v>
      </c>
      <c r="N183">
        <v>2963.47</v>
      </c>
      <c r="O183">
        <v>0</v>
      </c>
      <c r="P183">
        <v>0</v>
      </c>
      <c r="R183">
        <v>135.83999999999997</v>
      </c>
      <c r="V183">
        <v>3</v>
      </c>
      <c r="W183">
        <v>75</v>
      </c>
      <c r="X183">
        <v>0</v>
      </c>
      <c r="Y183">
        <v>0</v>
      </c>
      <c r="Z183">
        <v>49</v>
      </c>
      <c r="AA183">
        <v>178.06</v>
      </c>
      <c r="AB183">
        <v>5</v>
      </c>
      <c r="AC183">
        <v>125.36</v>
      </c>
      <c r="AD183">
        <v>19</v>
      </c>
      <c r="AE183">
        <v>26.01</v>
      </c>
      <c r="AH183">
        <v>0</v>
      </c>
      <c r="AJ183">
        <v>238.93</v>
      </c>
      <c r="AN183">
        <v>0</v>
      </c>
      <c r="AO183">
        <v>0</v>
      </c>
      <c r="AP183">
        <v>-1075.6300000000001</v>
      </c>
      <c r="AQ183">
        <v>69</v>
      </c>
      <c r="AR183">
        <v>614.86</v>
      </c>
      <c r="AS183">
        <v>154</v>
      </c>
      <c r="AT183">
        <v>1277.19</v>
      </c>
      <c r="AU183">
        <v>7</v>
      </c>
      <c r="AV183">
        <v>38.54</v>
      </c>
      <c r="AW183">
        <v>3</v>
      </c>
      <c r="AX183">
        <v>34.47</v>
      </c>
      <c r="AY183">
        <v>56</v>
      </c>
      <c r="AZ183">
        <v>258.72000000000003</v>
      </c>
      <c r="BS183">
        <v>2985.48</v>
      </c>
      <c r="BV183">
        <v>0</v>
      </c>
      <c r="BW183">
        <v>0</v>
      </c>
      <c r="BZ183">
        <v>1</v>
      </c>
      <c r="CG183">
        <v>182</v>
      </c>
      <c r="CH183">
        <v>182</v>
      </c>
    </row>
    <row r="184" spans="1:86" x14ac:dyDescent="0.35">
      <c r="A184">
        <v>352613</v>
      </c>
      <c r="B184" s="2">
        <v>44212</v>
      </c>
      <c r="C184" s="2">
        <v>44212</v>
      </c>
      <c r="D184">
        <v>118</v>
      </c>
      <c r="E184">
        <v>408.92</v>
      </c>
      <c r="F184">
        <v>1883.4399999999998</v>
      </c>
      <c r="G184">
        <v>749.61</v>
      </c>
      <c r="H184">
        <v>871.2</v>
      </c>
      <c r="I184">
        <v>164.92000000000002</v>
      </c>
      <c r="J184">
        <v>3855.49</v>
      </c>
      <c r="K184">
        <v>258.60000000000002</v>
      </c>
      <c r="L184">
        <v>641</v>
      </c>
      <c r="M184">
        <v>266.72000000000003</v>
      </c>
      <c r="N184">
        <v>3980.99</v>
      </c>
      <c r="O184">
        <v>1</v>
      </c>
      <c r="P184">
        <v>9.49</v>
      </c>
      <c r="R184">
        <v>133.62</v>
      </c>
      <c r="V184">
        <v>1</v>
      </c>
      <c r="W184">
        <v>20</v>
      </c>
      <c r="X184">
        <v>0</v>
      </c>
      <c r="Y184">
        <v>0</v>
      </c>
      <c r="Z184">
        <v>87</v>
      </c>
      <c r="AA184">
        <v>165.31</v>
      </c>
      <c r="AB184">
        <v>11</v>
      </c>
      <c r="AC184">
        <v>93.63</v>
      </c>
      <c r="AD184">
        <v>55</v>
      </c>
      <c r="AE184">
        <v>85.68</v>
      </c>
      <c r="AH184">
        <v>0</v>
      </c>
      <c r="AJ184">
        <v>329.39</v>
      </c>
      <c r="AN184">
        <v>1051</v>
      </c>
      <c r="AO184">
        <v>5.3</v>
      </c>
      <c r="AP184">
        <v>22.470000000000027</v>
      </c>
      <c r="AQ184">
        <v>75</v>
      </c>
      <c r="AR184">
        <v>564.02</v>
      </c>
      <c r="AS184">
        <v>269</v>
      </c>
      <c r="AT184">
        <v>1976.41</v>
      </c>
      <c r="AU184">
        <v>17</v>
      </c>
      <c r="AV184">
        <v>181.1</v>
      </c>
      <c r="AW184">
        <v>8</v>
      </c>
      <c r="AX184">
        <v>77.180000000000007</v>
      </c>
      <c r="AY184">
        <v>68</v>
      </c>
      <c r="AZ184">
        <v>431.31</v>
      </c>
      <c r="BP184">
        <v>3</v>
      </c>
      <c r="BQ184">
        <v>47.15</v>
      </c>
      <c r="BR184">
        <v>43.66</v>
      </c>
      <c r="BS184">
        <v>4114.09</v>
      </c>
      <c r="BV184">
        <v>6.7799999999997453</v>
      </c>
      <c r="BW184">
        <v>6.78</v>
      </c>
      <c r="BZ184">
        <v>1</v>
      </c>
      <c r="CA184">
        <v>6</v>
      </c>
      <c r="CB184">
        <v>122.25</v>
      </c>
      <c r="CE184">
        <v>1</v>
      </c>
      <c r="CF184">
        <v>30.23</v>
      </c>
      <c r="CG184">
        <v>183</v>
      </c>
      <c r="CH184">
        <v>183</v>
      </c>
    </row>
    <row r="185" spans="1:86" x14ac:dyDescent="0.35">
      <c r="A185">
        <v>352613</v>
      </c>
      <c r="B185" s="2">
        <v>44211</v>
      </c>
      <c r="C185" s="2">
        <v>44211</v>
      </c>
      <c r="D185">
        <v>156</v>
      </c>
      <c r="E185">
        <v>587.34</v>
      </c>
      <c r="F185">
        <v>2166.3100000000004</v>
      </c>
      <c r="G185">
        <v>646.75</v>
      </c>
      <c r="H185">
        <v>986.13</v>
      </c>
      <c r="I185">
        <v>236.14999999999998</v>
      </c>
      <c r="J185">
        <v>4189.5199999999995</v>
      </c>
      <c r="K185">
        <v>261.52000000000004</v>
      </c>
      <c r="L185">
        <v>724</v>
      </c>
      <c r="M185">
        <v>263.60000000000002</v>
      </c>
      <c r="N185">
        <v>4358.2099999999991</v>
      </c>
      <c r="O185">
        <v>15</v>
      </c>
      <c r="P185">
        <v>20.34</v>
      </c>
      <c r="R185">
        <v>170.77</v>
      </c>
      <c r="V185">
        <v>0</v>
      </c>
      <c r="W185">
        <v>0</v>
      </c>
      <c r="X185">
        <v>0</v>
      </c>
      <c r="Y185">
        <v>0</v>
      </c>
      <c r="Z185">
        <v>101</v>
      </c>
      <c r="AA185">
        <v>251.39</v>
      </c>
      <c r="AB185">
        <v>10</v>
      </c>
      <c r="AC185">
        <v>197.19</v>
      </c>
      <c r="AD185">
        <v>70</v>
      </c>
      <c r="AE185">
        <v>85.03</v>
      </c>
      <c r="AH185">
        <v>0</v>
      </c>
      <c r="AJ185">
        <v>356.32</v>
      </c>
      <c r="AN185">
        <v>1911.3</v>
      </c>
      <c r="AO185">
        <v>120.86</v>
      </c>
      <c r="AP185">
        <v>840.88999999999987</v>
      </c>
      <c r="AQ185">
        <v>99</v>
      </c>
      <c r="AR185">
        <v>686.1</v>
      </c>
      <c r="AS185">
        <v>313</v>
      </c>
      <c r="AT185">
        <v>2211.21</v>
      </c>
      <c r="AU185">
        <v>12</v>
      </c>
      <c r="AV185">
        <v>74.97</v>
      </c>
      <c r="AW185">
        <v>5</v>
      </c>
      <c r="AX185">
        <v>46.69</v>
      </c>
      <c r="AY185">
        <v>66</v>
      </c>
      <c r="AZ185">
        <v>356.83</v>
      </c>
      <c r="BM185">
        <v>2</v>
      </c>
      <c r="BN185">
        <v>33.909999999999997</v>
      </c>
      <c r="BP185">
        <v>10</v>
      </c>
      <c r="BQ185">
        <v>124.24</v>
      </c>
      <c r="BR185">
        <v>99.74</v>
      </c>
      <c r="BS185">
        <v>4451.04</v>
      </c>
      <c r="BV185">
        <v>0</v>
      </c>
      <c r="BW185">
        <v>0</v>
      </c>
      <c r="BZ185">
        <v>1</v>
      </c>
      <c r="CA185">
        <v>6</v>
      </c>
      <c r="CB185">
        <v>64.87</v>
      </c>
      <c r="CE185">
        <v>1</v>
      </c>
      <c r="CF185">
        <v>17.27</v>
      </c>
      <c r="CG185">
        <v>184</v>
      </c>
      <c r="CH185">
        <v>184</v>
      </c>
    </row>
    <row r="186" spans="1:86" x14ac:dyDescent="0.35">
      <c r="A186">
        <v>357150</v>
      </c>
      <c r="B186" s="2">
        <v>44211</v>
      </c>
      <c r="C186" s="2">
        <v>44211</v>
      </c>
      <c r="D186">
        <v>178</v>
      </c>
      <c r="E186">
        <v>662.02</v>
      </c>
      <c r="F186">
        <v>1907.58</v>
      </c>
      <c r="G186">
        <v>619.48</v>
      </c>
      <c r="H186">
        <v>610.76</v>
      </c>
      <c r="I186">
        <v>119.31</v>
      </c>
      <c r="J186">
        <v>3440.8</v>
      </c>
      <c r="K186">
        <v>255.01000000000002</v>
      </c>
      <c r="L186">
        <v>568</v>
      </c>
      <c r="M186">
        <v>255.9</v>
      </c>
      <c r="N186">
        <v>3583.61</v>
      </c>
      <c r="O186">
        <v>0</v>
      </c>
      <c r="P186">
        <v>0</v>
      </c>
      <c r="R186">
        <v>143.69999999999996</v>
      </c>
      <c r="V186">
        <v>1</v>
      </c>
      <c r="W186">
        <v>10</v>
      </c>
      <c r="X186">
        <v>0</v>
      </c>
      <c r="Y186">
        <v>0</v>
      </c>
      <c r="Z186">
        <v>59</v>
      </c>
      <c r="AA186">
        <v>156.09</v>
      </c>
      <c r="AB186">
        <v>8</v>
      </c>
      <c r="AC186">
        <v>49.48</v>
      </c>
      <c r="AD186">
        <v>12</v>
      </c>
      <c r="AE186">
        <v>42.69</v>
      </c>
      <c r="AH186">
        <v>0</v>
      </c>
      <c r="AJ186">
        <v>296.01</v>
      </c>
      <c r="AN186">
        <v>0</v>
      </c>
      <c r="AO186">
        <v>0</v>
      </c>
      <c r="AP186">
        <v>-1106.19</v>
      </c>
      <c r="AQ186">
        <v>93</v>
      </c>
      <c r="AR186">
        <v>796.88</v>
      </c>
      <c r="AS186">
        <v>215</v>
      </c>
      <c r="AT186">
        <v>1496.95</v>
      </c>
      <c r="AU186">
        <v>16</v>
      </c>
      <c r="AV186">
        <v>157.02000000000001</v>
      </c>
      <c r="AW186">
        <v>5</v>
      </c>
      <c r="AX186">
        <v>33.43</v>
      </c>
      <c r="AY186">
        <v>79</v>
      </c>
      <c r="AZ186">
        <v>416.31</v>
      </c>
      <c r="BS186">
        <v>3700.4</v>
      </c>
      <c r="BV186">
        <v>0</v>
      </c>
      <c r="BW186">
        <v>4.96</v>
      </c>
      <c r="BZ186">
        <v>1</v>
      </c>
      <c r="CG186">
        <v>185</v>
      </c>
      <c r="CH186">
        <v>185</v>
      </c>
    </row>
    <row r="187" spans="1:86" x14ac:dyDescent="0.35">
      <c r="A187">
        <v>359606</v>
      </c>
      <c r="B187" s="2">
        <v>44211</v>
      </c>
      <c r="C187" s="2">
        <v>44211</v>
      </c>
      <c r="D187">
        <v>56</v>
      </c>
      <c r="E187">
        <v>195.74</v>
      </c>
      <c r="F187">
        <v>636.92000000000007</v>
      </c>
      <c r="G187">
        <v>237.27</v>
      </c>
      <c r="H187">
        <v>457.33</v>
      </c>
      <c r="I187">
        <v>38.82</v>
      </c>
      <c r="J187">
        <v>1414.83</v>
      </c>
      <c r="K187">
        <v>20.25</v>
      </c>
      <c r="L187">
        <v>252</v>
      </c>
      <c r="M187">
        <v>20.25</v>
      </c>
      <c r="N187">
        <v>1523.06</v>
      </c>
      <c r="O187">
        <v>0</v>
      </c>
      <c r="P187">
        <v>0</v>
      </c>
      <c r="R187">
        <v>108.23</v>
      </c>
      <c r="V187">
        <v>0</v>
      </c>
      <c r="W187">
        <v>0</v>
      </c>
      <c r="X187">
        <v>0</v>
      </c>
      <c r="Y187">
        <v>0</v>
      </c>
      <c r="Z187">
        <v>22</v>
      </c>
      <c r="AA187">
        <v>42.94</v>
      </c>
      <c r="AB187">
        <v>3</v>
      </c>
      <c r="AC187">
        <v>74.62</v>
      </c>
      <c r="AD187">
        <v>0</v>
      </c>
      <c r="AE187">
        <v>0</v>
      </c>
      <c r="AH187">
        <v>0</v>
      </c>
      <c r="AJ187">
        <v>127.67</v>
      </c>
      <c r="AN187">
        <v>433</v>
      </c>
      <c r="AO187">
        <v>0</v>
      </c>
      <c r="AP187">
        <v>145.37</v>
      </c>
      <c r="AQ187">
        <v>23</v>
      </c>
      <c r="AR187">
        <v>177.26</v>
      </c>
      <c r="AS187">
        <v>117</v>
      </c>
      <c r="AT187">
        <v>748.22</v>
      </c>
      <c r="AU187">
        <v>22</v>
      </c>
      <c r="AV187">
        <v>125.08</v>
      </c>
      <c r="AW187">
        <v>3</v>
      </c>
      <c r="AX187">
        <v>20.350000000000001</v>
      </c>
      <c r="AY187">
        <v>33</v>
      </c>
      <c r="AZ187">
        <v>183.56</v>
      </c>
      <c r="BP187">
        <v>1</v>
      </c>
      <c r="BQ187">
        <v>17.61</v>
      </c>
      <c r="BR187">
        <v>16.170000000000002</v>
      </c>
      <c r="BS187">
        <v>1435.08</v>
      </c>
      <c r="BV187">
        <v>9.5199999999999818</v>
      </c>
      <c r="BW187">
        <v>9.52</v>
      </c>
      <c r="BZ187">
        <v>1</v>
      </c>
      <c r="CA187">
        <v>1</v>
      </c>
      <c r="CB187">
        <v>3.04</v>
      </c>
      <c r="CG187">
        <v>186</v>
      </c>
      <c r="CH187">
        <v>186</v>
      </c>
    </row>
    <row r="188" spans="1:86" x14ac:dyDescent="0.35">
      <c r="A188">
        <v>359606</v>
      </c>
      <c r="B188" s="2">
        <v>44210</v>
      </c>
      <c r="C188" s="2">
        <v>44210</v>
      </c>
      <c r="D188">
        <v>52</v>
      </c>
      <c r="E188">
        <v>187.68</v>
      </c>
      <c r="F188">
        <v>573.28000000000009</v>
      </c>
      <c r="G188">
        <v>160.58000000000001</v>
      </c>
      <c r="H188">
        <v>266.26</v>
      </c>
      <c r="I188">
        <v>23.900000000000002</v>
      </c>
      <c r="J188">
        <v>1029.6500000000001</v>
      </c>
      <c r="K188">
        <v>53.72</v>
      </c>
      <c r="L188">
        <v>215</v>
      </c>
      <c r="M188">
        <v>53.72</v>
      </c>
      <c r="N188">
        <v>1085.94</v>
      </c>
      <c r="O188">
        <v>0</v>
      </c>
      <c r="P188">
        <v>0</v>
      </c>
      <c r="R188">
        <v>56.29</v>
      </c>
      <c r="V188">
        <v>0</v>
      </c>
      <c r="W188">
        <v>0</v>
      </c>
      <c r="X188">
        <v>0</v>
      </c>
      <c r="Y188">
        <v>0</v>
      </c>
      <c r="Z188">
        <v>27</v>
      </c>
      <c r="AA188">
        <v>40.07</v>
      </c>
      <c r="AB188">
        <v>9</v>
      </c>
      <c r="AC188">
        <v>33.67</v>
      </c>
      <c r="AD188">
        <v>0</v>
      </c>
      <c r="AE188">
        <v>0</v>
      </c>
      <c r="AH188">
        <v>0</v>
      </c>
      <c r="AJ188">
        <v>96.32</v>
      </c>
      <c r="AN188">
        <v>604</v>
      </c>
      <c r="AO188">
        <v>0</v>
      </c>
      <c r="AP188">
        <v>435.27</v>
      </c>
      <c r="AQ188">
        <v>21</v>
      </c>
      <c r="AR188">
        <v>100.36</v>
      </c>
      <c r="AS188">
        <v>94</v>
      </c>
      <c r="AT188">
        <v>543.02</v>
      </c>
      <c r="AU188">
        <v>19</v>
      </c>
      <c r="AV188">
        <v>88.27</v>
      </c>
      <c r="AW188">
        <v>2</v>
      </c>
      <c r="AX188">
        <v>10.72</v>
      </c>
      <c r="AY188">
        <v>25</v>
      </c>
      <c r="AZ188">
        <v>120.52</v>
      </c>
      <c r="BP188">
        <v>4</v>
      </c>
      <c r="BQ188">
        <v>57.5</v>
      </c>
      <c r="BR188">
        <v>52.8</v>
      </c>
      <c r="BS188">
        <v>1083.3699999999999</v>
      </c>
      <c r="BV188">
        <v>9.5199999999999818</v>
      </c>
      <c r="BW188">
        <v>9.52</v>
      </c>
      <c r="BZ188">
        <v>1</v>
      </c>
      <c r="CA188">
        <v>8</v>
      </c>
      <c r="CB188">
        <v>64.44</v>
      </c>
      <c r="CE188">
        <v>1</v>
      </c>
      <c r="CF188">
        <v>26.13</v>
      </c>
      <c r="CG188">
        <v>187</v>
      </c>
      <c r="CH188">
        <v>187</v>
      </c>
    </row>
    <row r="189" spans="1:86" x14ac:dyDescent="0.35">
      <c r="A189">
        <v>358682</v>
      </c>
      <c r="B189" s="2">
        <v>44210</v>
      </c>
      <c r="C189" s="2">
        <v>44210</v>
      </c>
      <c r="D189">
        <v>75</v>
      </c>
      <c r="E189">
        <v>257.75</v>
      </c>
      <c r="F189">
        <v>999.48000000000013</v>
      </c>
      <c r="G189">
        <v>208.2</v>
      </c>
      <c r="H189">
        <v>653.33000000000004</v>
      </c>
      <c r="I189">
        <v>50.8</v>
      </c>
      <c r="J189">
        <v>1950.67</v>
      </c>
      <c r="K189">
        <v>90.919999999999987</v>
      </c>
      <c r="L189">
        <v>369</v>
      </c>
      <c r="M189">
        <v>104.30999999999999</v>
      </c>
      <c r="N189">
        <v>2062.96</v>
      </c>
      <c r="O189">
        <v>0</v>
      </c>
      <c r="P189">
        <v>0</v>
      </c>
      <c r="R189">
        <v>125.67999999999999</v>
      </c>
      <c r="V189">
        <v>1</v>
      </c>
      <c r="W189">
        <v>20</v>
      </c>
      <c r="X189">
        <v>0</v>
      </c>
      <c r="Y189">
        <v>0</v>
      </c>
      <c r="Z189">
        <v>34</v>
      </c>
      <c r="AA189">
        <v>127.31</v>
      </c>
      <c r="AB189">
        <v>10</v>
      </c>
      <c r="AC189">
        <v>32.869999999999997</v>
      </c>
      <c r="AD189">
        <v>35</v>
      </c>
      <c r="AE189">
        <v>39.01</v>
      </c>
      <c r="AH189">
        <v>0</v>
      </c>
      <c r="AJ189">
        <v>180.83</v>
      </c>
      <c r="AN189">
        <v>403.5</v>
      </c>
      <c r="AO189">
        <v>0</v>
      </c>
      <c r="AP189">
        <v>13.54000000000002</v>
      </c>
      <c r="AQ189">
        <v>53</v>
      </c>
      <c r="AR189">
        <v>349.54</v>
      </c>
      <c r="AS189">
        <v>167</v>
      </c>
      <c r="AT189">
        <v>1059.68</v>
      </c>
      <c r="AU189">
        <v>17</v>
      </c>
      <c r="AV189">
        <v>91.4</v>
      </c>
      <c r="AW189">
        <v>6</v>
      </c>
      <c r="AX189">
        <v>57.17</v>
      </c>
      <c r="AY189">
        <v>43</v>
      </c>
      <c r="AZ189">
        <v>193.47</v>
      </c>
      <c r="BM189">
        <v>2</v>
      </c>
      <c r="BN189">
        <v>9.4499999999999993</v>
      </c>
      <c r="BP189">
        <v>9</v>
      </c>
      <c r="BQ189">
        <v>98.26</v>
      </c>
      <c r="BR189">
        <v>71.260000000000005</v>
      </c>
      <c r="BS189">
        <v>2047.57</v>
      </c>
      <c r="BV189">
        <v>4.5474735088646412E-13</v>
      </c>
      <c r="BW189">
        <v>6.51</v>
      </c>
      <c r="BZ189">
        <v>1</v>
      </c>
      <c r="CG189">
        <v>188</v>
      </c>
      <c r="CH189">
        <v>188</v>
      </c>
    </row>
    <row r="190" spans="1:86" x14ac:dyDescent="0.35">
      <c r="A190">
        <v>357150</v>
      </c>
      <c r="B190" s="2">
        <v>44210</v>
      </c>
      <c r="C190" s="2">
        <v>44210</v>
      </c>
      <c r="D190">
        <v>147</v>
      </c>
      <c r="E190">
        <v>559.43000000000006</v>
      </c>
      <c r="F190">
        <v>1537.3600000000001</v>
      </c>
      <c r="G190">
        <v>338.99</v>
      </c>
      <c r="H190">
        <v>469.58</v>
      </c>
      <c r="I190">
        <v>82.169999999999987</v>
      </c>
      <c r="J190">
        <v>2542.2299999999996</v>
      </c>
      <c r="K190">
        <v>271.44</v>
      </c>
      <c r="L190">
        <v>467</v>
      </c>
      <c r="M190">
        <v>271.44</v>
      </c>
      <c r="N190">
        <v>2642.3599999999997</v>
      </c>
      <c r="O190">
        <v>0</v>
      </c>
      <c r="P190">
        <v>0</v>
      </c>
      <c r="R190">
        <v>100.13</v>
      </c>
      <c r="V190">
        <v>2</v>
      </c>
      <c r="W190">
        <v>65</v>
      </c>
      <c r="X190">
        <v>0</v>
      </c>
      <c r="Y190">
        <v>0</v>
      </c>
      <c r="Z190">
        <v>63</v>
      </c>
      <c r="AA190">
        <v>309.83999999999997</v>
      </c>
      <c r="AB190">
        <v>8</v>
      </c>
      <c r="AC190">
        <v>50.66</v>
      </c>
      <c r="AD190">
        <v>20</v>
      </c>
      <c r="AE190">
        <v>26.6</v>
      </c>
      <c r="AH190">
        <v>0</v>
      </c>
      <c r="AJ190">
        <v>225.19</v>
      </c>
      <c r="AN190">
        <v>0</v>
      </c>
      <c r="AO190">
        <v>0</v>
      </c>
      <c r="AP190">
        <v>-917.89</v>
      </c>
      <c r="AQ190">
        <v>70</v>
      </c>
      <c r="AR190">
        <v>581.91999999999996</v>
      </c>
      <c r="AS190">
        <v>172</v>
      </c>
      <c r="AT190">
        <v>1165.08</v>
      </c>
      <c r="AU190">
        <v>12</v>
      </c>
      <c r="AV190">
        <v>98.38</v>
      </c>
      <c r="AW190">
        <v>4</v>
      </c>
      <c r="AX190">
        <v>31.66</v>
      </c>
      <c r="AY190">
        <v>60</v>
      </c>
      <c r="AZ190">
        <v>303.97000000000003</v>
      </c>
      <c r="BS190">
        <v>2808.78</v>
      </c>
      <c r="BV190">
        <v>4.9700000000002547</v>
      </c>
      <c r="BW190">
        <v>0.01</v>
      </c>
      <c r="BZ190">
        <v>1</v>
      </c>
      <c r="CG190">
        <v>189</v>
      </c>
      <c r="CH190">
        <v>189</v>
      </c>
    </row>
    <row r="191" spans="1:86" x14ac:dyDescent="0.35">
      <c r="A191">
        <v>352613</v>
      </c>
      <c r="B191" s="2">
        <v>44210</v>
      </c>
      <c r="C191" s="2">
        <v>44210</v>
      </c>
      <c r="D191">
        <v>146</v>
      </c>
      <c r="E191">
        <v>531.84</v>
      </c>
      <c r="F191">
        <v>1920.3799999999997</v>
      </c>
      <c r="G191">
        <v>566.6</v>
      </c>
      <c r="H191">
        <v>821.39</v>
      </c>
      <c r="I191">
        <v>215.89</v>
      </c>
      <c r="J191">
        <v>3624.96</v>
      </c>
      <c r="K191">
        <v>276.51000000000005</v>
      </c>
      <c r="L191">
        <v>693</v>
      </c>
      <c r="M191">
        <v>284.47000000000003</v>
      </c>
      <c r="N191">
        <v>3762.85</v>
      </c>
      <c r="O191">
        <v>2</v>
      </c>
      <c r="P191">
        <v>4.78</v>
      </c>
      <c r="R191">
        <v>145.85</v>
      </c>
      <c r="V191">
        <v>0</v>
      </c>
      <c r="W191">
        <v>0</v>
      </c>
      <c r="X191">
        <v>0</v>
      </c>
      <c r="Y191">
        <v>0</v>
      </c>
      <c r="Z191">
        <v>92</v>
      </c>
      <c r="AA191">
        <v>202.71</v>
      </c>
      <c r="AB191">
        <v>13</v>
      </c>
      <c r="AC191">
        <v>80.89</v>
      </c>
      <c r="AD191">
        <v>76</v>
      </c>
      <c r="AE191">
        <v>100.16</v>
      </c>
      <c r="AH191">
        <v>0</v>
      </c>
      <c r="AJ191">
        <v>312.45999999999998</v>
      </c>
      <c r="AN191">
        <v>1004</v>
      </c>
      <c r="AO191">
        <v>0</v>
      </c>
      <c r="AP191">
        <v>-5.0599999999999454</v>
      </c>
      <c r="AQ191">
        <v>94</v>
      </c>
      <c r="AR191">
        <v>605.4</v>
      </c>
      <c r="AS191">
        <v>280</v>
      </c>
      <c r="AT191">
        <v>1901.3</v>
      </c>
      <c r="AU191">
        <v>14</v>
      </c>
      <c r="AV191">
        <v>146.15</v>
      </c>
      <c r="AW191">
        <v>7</v>
      </c>
      <c r="AX191">
        <v>53.09</v>
      </c>
      <c r="AY191">
        <v>75</v>
      </c>
      <c r="AZ191">
        <v>358.43</v>
      </c>
      <c r="BP191">
        <v>8</v>
      </c>
      <c r="BQ191">
        <v>66.98</v>
      </c>
      <c r="BR191">
        <v>55.23</v>
      </c>
      <c r="BS191">
        <v>3901.47</v>
      </c>
      <c r="BV191">
        <v>41</v>
      </c>
      <c r="BW191">
        <v>41</v>
      </c>
      <c r="BZ191">
        <v>1</v>
      </c>
      <c r="CA191">
        <v>4</v>
      </c>
      <c r="CB191">
        <v>47.61</v>
      </c>
      <c r="CE191">
        <v>1</v>
      </c>
      <c r="CF191">
        <v>25.91</v>
      </c>
      <c r="CG191">
        <v>190</v>
      </c>
      <c r="CH191">
        <v>190</v>
      </c>
    </row>
    <row r="192" spans="1:86" x14ac:dyDescent="0.35">
      <c r="A192">
        <v>358682</v>
      </c>
      <c r="B192" s="2">
        <v>44211</v>
      </c>
      <c r="C192" s="2">
        <v>44211</v>
      </c>
      <c r="D192">
        <v>77</v>
      </c>
      <c r="E192">
        <v>279.63</v>
      </c>
      <c r="F192">
        <v>1004.0700000000002</v>
      </c>
      <c r="G192">
        <v>216.15</v>
      </c>
      <c r="H192">
        <v>713.68</v>
      </c>
      <c r="I192">
        <v>97.67</v>
      </c>
      <c r="J192">
        <v>2066.2200000000003</v>
      </c>
      <c r="K192">
        <v>73.319999999999993</v>
      </c>
      <c r="L192">
        <v>356</v>
      </c>
      <c r="M192">
        <v>76.77</v>
      </c>
      <c r="N192">
        <v>2186.36</v>
      </c>
      <c r="O192">
        <v>0</v>
      </c>
      <c r="P192">
        <v>0</v>
      </c>
      <c r="R192">
        <v>123.59000000000002</v>
      </c>
      <c r="V192">
        <v>1</v>
      </c>
      <c r="W192">
        <v>10</v>
      </c>
      <c r="X192">
        <v>0</v>
      </c>
      <c r="Y192">
        <v>0</v>
      </c>
      <c r="Z192">
        <v>36</v>
      </c>
      <c r="AA192">
        <v>96.31</v>
      </c>
      <c r="AB192">
        <v>12</v>
      </c>
      <c r="AC192">
        <v>58.16</v>
      </c>
      <c r="AD192">
        <v>3</v>
      </c>
      <c r="AE192">
        <v>7.17</v>
      </c>
      <c r="AH192">
        <v>0</v>
      </c>
      <c r="AJ192">
        <v>190.34</v>
      </c>
      <c r="AN192">
        <v>384</v>
      </c>
      <c r="AO192">
        <v>0</v>
      </c>
      <c r="AP192">
        <v>3.2300000000000182</v>
      </c>
      <c r="AQ192">
        <v>49</v>
      </c>
      <c r="AR192">
        <v>352.2</v>
      </c>
      <c r="AS192">
        <v>159</v>
      </c>
      <c r="AT192">
        <v>1055.98</v>
      </c>
      <c r="AU192">
        <v>24</v>
      </c>
      <c r="AV192">
        <v>166.39</v>
      </c>
      <c r="AW192">
        <v>6</v>
      </c>
      <c r="AX192">
        <v>50.96</v>
      </c>
      <c r="AY192">
        <v>43</v>
      </c>
      <c r="AZ192">
        <v>217.97</v>
      </c>
      <c r="BP192">
        <v>8</v>
      </c>
      <c r="BQ192">
        <v>106.81</v>
      </c>
      <c r="BR192">
        <v>98.08</v>
      </c>
      <c r="BS192">
        <v>2131.46</v>
      </c>
      <c r="BV192">
        <v>8.8000000000001819</v>
      </c>
      <c r="BW192">
        <v>0</v>
      </c>
      <c r="BZ192">
        <v>1</v>
      </c>
      <c r="CG192">
        <v>191</v>
      </c>
      <c r="CH192">
        <v>191</v>
      </c>
    </row>
    <row r="193" spans="1:86" x14ac:dyDescent="0.35">
      <c r="A193">
        <v>350432</v>
      </c>
      <c r="B193" s="2">
        <v>44213</v>
      </c>
      <c r="C193" s="2">
        <v>44213</v>
      </c>
      <c r="D193">
        <v>185</v>
      </c>
      <c r="E193" s="1">
        <v>588.28</v>
      </c>
      <c r="F193" s="1">
        <v>1963.65</v>
      </c>
      <c r="G193" s="1">
        <v>1311.11</v>
      </c>
      <c r="H193" s="1">
        <v>1094.3499999999999</v>
      </c>
      <c r="I193" s="1">
        <v>137.02000000000001</v>
      </c>
      <c r="J193" s="1">
        <v>4768.05</v>
      </c>
      <c r="K193" s="1">
        <v>725.19</v>
      </c>
      <c r="L193">
        <v>701</v>
      </c>
      <c r="M193" s="1">
        <v>735.94</v>
      </c>
      <c r="N193" s="1">
        <v>4897.68</v>
      </c>
      <c r="O193">
        <v>4</v>
      </c>
      <c r="P193" s="1">
        <v>11.67</v>
      </c>
      <c r="Q193">
        <v>15</v>
      </c>
      <c r="R193" s="1">
        <v>17.2</v>
      </c>
      <c r="S193">
        <v>34</v>
      </c>
      <c r="T193" s="1">
        <v>52.68</v>
      </c>
      <c r="U193" s="1">
        <v>58.83</v>
      </c>
      <c r="V193">
        <v>0</v>
      </c>
      <c r="W193" s="1">
        <v>0</v>
      </c>
      <c r="X193">
        <v>17</v>
      </c>
      <c r="Y193" s="1">
        <v>0</v>
      </c>
      <c r="Z193">
        <v>149</v>
      </c>
      <c r="AA193" s="1">
        <v>428.86</v>
      </c>
      <c r="AB193">
        <v>15</v>
      </c>
      <c r="AC193" s="1">
        <v>37.35</v>
      </c>
      <c r="AD193">
        <v>1</v>
      </c>
      <c r="AE193" s="1">
        <v>6.41</v>
      </c>
      <c r="AF193" s="1">
        <v>0</v>
      </c>
      <c r="AG193" s="1">
        <v>0</v>
      </c>
      <c r="AH193" s="1">
        <v>0</v>
      </c>
      <c r="AI193" s="1">
        <v>0</v>
      </c>
      <c r="AJ193" s="1">
        <v>488.7</v>
      </c>
      <c r="AL193" s="1">
        <v>5493.24</v>
      </c>
      <c r="AM193" s="1">
        <v>0</v>
      </c>
      <c r="AN193" s="1">
        <v>877</v>
      </c>
      <c r="AO193" s="1">
        <v>16</v>
      </c>
      <c r="AP193" s="1">
        <v>3.09</v>
      </c>
      <c r="AQ193">
        <v>82</v>
      </c>
      <c r="AR193" s="1">
        <v>628.87</v>
      </c>
      <c r="AS193">
        <v>300</v>
      </c>
      <c r="AT193" s="1">
        <v>3045.03</v>
      </c>
      <c r="AU193">
        <v>41</v>
      </c>
      <c r="AV193" s="1">
        <v>337.48</v>
      </c>
      <c r="AW193">
        <v>9</v>
      </c>
      <c r="AX193" s="1">
        <v>108.91</v>
      </c>
      <c r="AY193">
        <v>56</v>
      </c>
      <c r="AZ193" s="1">
        <v>280.04000000000002</v>
      </c>
      <c r="BC193">
        <v>2</v>
      </c>
      <c r="BD193" s="1">
        <v>16.34</v>
      </c>
      <c r="BE193">
        <v>11</v>
      </c>
      <c r="BF193" s="1">
        <v>74.66</v>
      </c>
      <c r="BG193">
        <v>2</v>
      </c>
      <c r="BH193" s="1">
        <v>26.68</v>
      </c>
      <c r="BK193">
        <v>11</v>
      </c>
      <c r="BL193" s="1">
        <v>56.06</v>
      </c>
      <c r="BP193">
        <v>25</v>
      </c>
      <c r="BQ193" s="1">
        <v>347.63</v>
      </c>
      <c r="BR193" s="1">
        <v>319.23</v>
      </c>
      <c r="BZ193">
        <v>1</v>
      </c>
      <c r="CA193">
        <v>15</v>
      </c>
      <c r="CB193" s="1">
        <v>170.33</v>
      </c>
      <c r="CG193">
        <v>192</v>
      </c>
      <c r="CH193">
        <v>192</v>
      </c>
    </row>
    <row r="194" spans="1:86" x14ac:dyDescent="0.35">
      <c r="A194">
        <v>350437</v>
      </c>
      <c r="B194" s="2">
        <v>44213</v>
      </c>
      <c r="C194" s="2">
        <v>44213</v>
      </c>
      <c r="D194">
        <v>80</v>
      </c>
      <c r="E194" s="1">
        <v>277.17</v>
      </c>
      <c r="F194" s="1">
        <v>1020.18</v>
      </c>
      <c r="G194" s="1">
        <v>509.97</v>
      </c>
      <c r="H194" s="1">
        <v>640.85</v>
      </c>
      <c r="I194" s="1">
        <v>85.32</v>
      </c>
      <c r="J194" s="1">
        <v>2406.75</v>
      </c>
      <c r="K194" s="1">
        <v>0</v>
      </c>
      <c r="L194">
        <v>377</v>
      </c>
      <c r="M194" s="1">
        <v>0</v>
      </c>
      <c r="N194" s="1">
        <v>2487.94</v>
      </c>
      <c r="O194">
        <v>0</v>
      </c>
      <c r="P194" s="1">
        <v>0</v>
      </c>
      <c r="Q194">
        <v>6</v>
      </c>
      <c r="R194" s="1">
        <v>4.12</v>
      </c>
      <c r="S194">
        <v>23</v>
      </c>
      <c r="T194" s="1">
        <v>50.91</v>
      </c>
      <c r="U194" s="1">
        <v>26.16</v>
      </c>
      <c r="V194">
        <v>1</v>
      </c>
      <c r="W194" s="1">
        <v>20</v>
      </c>
      <c r="X194">
        <v>12</v>
      </c>
      <c r="Y194" s="1">
        <v>0</v>
      </c>
      <c r="Z194">
        <v>53</v>
      </c>
      <c r="AA194" s="1">
        <v>146.46</v>
      </c>
      <c r="AB194">
        <v>18</v>
      </c>
      <c r="AC194" s="1">
        <v>44.12</v>
      </c>
      <c r="AD194">
        <v>2</v>
      </c>
      <c r="AE194" s="1">
        <v>5.3</v>
      </c>
      <c r="AF194" s="1">
        <v>0</v>
      </c>
      <c r="AG194" s="1">
        <v>0</v>
      </c>
      <c r="AH194" s="1">
        <v>0</v>
      </c>
      <c r="AI194" s="1">
        <v>0</v>
      </c>
      <c r="AJ194" s="1">
        <v>214.05</v>
      </c>
      <c r="AL194" s="1">
        <v>2406.75</v>
      </c>
      <c r="AM194" s="1">
        <v>0</v>
      </c>
      <c r="AN194" s="1">
        <v>396</v>
      </c>
      <c r="AO194" s="1">
        <v>0</v>
      </c>
      <c r="AP194" s="1">
        <v>-0.66</v>
      </c>
      <c r="AQ194">
        <v>46</v>
      </c>
      <c r="AR194" s="1">
        <v>406.36</v>
      </c>
      <c r="AS194">
        <v>164</v>
      </c>
      <c r="AT194" s="1">
        <v>1113.32</v>
      </c>
      <c r="AU194">
        <v>32</v>
      </c>
      <c r="AV194" s="1">
        <v>281.55</v>
      </c>
      <c r="AW194">
        <v>5</v>
      </c>
      <c r="AX194" s="1">
        <v>32.86</v>
      </c>
      <c r="AY194">
        <v>39</v>
      </c>
      <c r="AZ194" s="1">
        <v>206.65</v>
      </c>
      <c r="BE194">
        <v>5</v>
      </c>
      <c r="BF194" s="1">
        <v>32.869999999999997</v>
      </c>
      <c r="BG194">
        <v>2</v>
      </c>
      <c r="BH194" s="1">
        <v>9.89</v>
      </c>
      <c r="BK194">
        <v>5</v>
      </c>
      <c r="BL194" s="1">
        <v>31.74</v>
      </c>
      <c r="BP194">
        <v>7</v>
      </c>
      <c r="BQ194" s="1">
        <v>90.24</v>
      </c>
      <c r="BR194" s="1">
        <v>87.64</v>
      </c>
      <c r="BZ194">
        <v>1</v>
      </c>
      <c r="CA194">
        <v>4</v>
      </c>
      <c r="CB194" s="1">
        <v>38.659999999999997</v>
      </c>
      <c r="CG194">
        <v>193</v>
      </c>
      <c r="CH194">
        <v>193</v>
      </c>
    </row>
    <row r="195" spans="1:86" x14ac:dyDescent="0.35">
      <c r="A195">
        <v>351323</v>
      </c>
      <c r="B195" s="2">
        <v>44213</v>
      </c>
      <c r="C195" s="2">
        <v>44213</v>
      </c>
      <c r="D195">
        <v>138</v>
      </c>
      <c r="E195" s="1">
        <v>499.16</v>
      </c>
      <c r="F195" s="1">
        <v>1542.44</v>
      </c>
      <c r="G195" s="1">
        <v>623.62</v>
      </c>
      <c r="H195" s="1">
        <v>632.91</v>
      </c>
      <c r="I195" s="1">
        <v>104.81</v>
      </c>
      <c r="J195" s="1">
        <v>3091.31</v>
      </c>
      <c r="K195" s="1">
        <v>390.34</v>
      </c>
      <c r="L195">
        <v>515</v>
      </c>
      <c r="M195" s="1">
        <v>396.91</v>
      </c>
      <c r="N195" s="1">
        <v>3202.51</v>
      </c>
      <c r="O195">
        <v>0</v>
      </c>
      <c r="P195" s="1">
        <v>0</v>
      </c>
      <c r="Q195">
        <v>7</v>
      </c>
      <c r="R195" s="1">
        <v>1.82</v>
      </c>
      <c r="S195">
        <v>37</v>
      </c>
      <c r="T195" s="1">
        <v>66.64</v>
      </c>
      <c r="U195" s="1">
        <v>49.31</v>
      </c>
      <c r="V195">
        <v>0</v>
      </c>
      <c r="W195" s="1">
        <v>0</v>
      </c>
      <c r="X195">
        <v>8</v>
      </c>
      <c r="Y195" s="1">
        <v>0</v>
      </c>
      <c r="Z195">
        <v>86</v>
      </c>
      <c r="AA195" s="1">
        <v>227.02</v>
      </c>
      <c r="AB195">
        <v>26</v>
      </c>
      <c r="AC195" s="1">
        <v>54.99</v>
      </c>
      <c r="AD195">
        <v>8</v>
      </c>
      <c r="AE195" s="1">
        <v>37.880000000000003</v>
      </c>
      <c r="AF195" s="1">
        <v>0</v>
      </c>
      <c r="AG195" s="1">
        <v>0</v>
      </c>
      <c r="AH195" s="1">
        <v>0</v>
      </c>
      <c r="AI195" s="1">
        <v>0</v>
      </c>
      <c r="AJ195" s="1">
        <v>208.8</v>
      </c>
      <c r="AL195" s="1">
        <v>3481.65</v>
      </c>
      <c r="AM195" s="1">
        <v>0</v>
      </c>
      <c r="AN195" s="1">
        <v>768</v>
      </c>
      <c r="AO195" s="1">
        <v>0</v>
      </c>
      <c r="AP195" s="1">
        <v>-2.0099999999999998</v>
      </c>
      <c r="AQ195">
        <v>88</v>
      </c>
      <c r="AR195" s="1">
        <v>636.65</v>
      </c>
      <c r="AS195">
        <v>219</v>
      </c>
      <c r="AT195" s="1">
        <v>1569.6</v>
      </c>
      <c r="AU195">
        <v>12</v>
      </c>
      <c r="AV195" s="1">
        <v>78.48</v>
      </c>
      <c r="AW195">
        <v>7</v>
      </c>
      <c r="AX195" s="1">
        <v>41.82</v>
      </c>
      <c r="AY195">
        <v>47</v>
      </c>
      <c r="AZ195" s="1">
        <v>313.17</v>
      </c>
      <c r="BA195">
        <v>2</v>
      </c>
      <c r="BB195" s="1">
        <v>9.92</v>
      </c>
      <c r="BE195">
        <v>10</v>
      </c>
      <c r="BF195" s="1">
        <v>94.22</v>
      </c>
      <c r="BG195">
        <v>3</v>
      </c>
      <c r="BH195" s="1">
        <v>17.850000000000001</v>
      </c>
      <c r="BI195">
        <v>1</v>
      </c>
      <c r="BJ195" s="1">
        <v>54.04</v>
      </c>
      <c r="BK195">
        <v>4</v>
      </c>
      <c r="BL195" s="1">
        <v>45.78</v>
      </c>
      <c r="BP195">
        <v>3</v>
      </c>
      <c r="BQ195" s="1">
        <v>23.87</v>
      </c>
      <c r="BR195" s="1">
        <v>22.52</v>
      </c>
      <c r="BZ195">
        <v>1</v>
      </c>
      <c r="CA195">
        <v>3</v>
      </c>
      <c r="CB195" s="1">
        <v>35.04</v>
      </c>
      <c r="CG195">
        <v>194</v>
      </c>
      <c r="CH195">
        <v>194</v>
      </c>
    </row>
    <row r="196" spans="1:86" x14ac:dyDescent="0.35">
      <c r="A196">
        <v>353927</v>
      </c>
      <c r="B196" s="2">
        <v>44213</v>
      </c>
      <c r="C196" s="2">
        <v>44213</v>
      </c>
      <c r="D196">
        <v>120</v>
      </c>
      <c r="E196" s="1">
        <v>401.75</v>
      </c>
      <c r="F196" s="1">
        <v>1397.55</v>
      </c>
      <c r="G196" s="1">
        <v>640.58000000000004</v>
      </c>
      <c r="H196" s="1">
        <v>780.25</v>
      </c>
      <c r="I196" s="1">
        <v>118.32</v>
      </c>
      <c r="J196" s="1">
        <v>3096.94</v>
      </c>
      <c r="K196" s="1">
        <v>0</v>
      </c>
      <c r="L196">
        <v>427</v>
      </c>
      <c r="M196" s="1">
        <v>0</v>
      </c>
      <c r="N196" s="1">
        <v>3221.49</v>
      </c>
      <c r="O196">
        <v>1</v>
      </c>
      <c r="P196" s="1">
        <v>2</v>
      </c>
      <c r="Q196">
        <v>1</v>
      </c>
      <c r="R196" s="1">
        <v>0.52</v>
      </c>
      <c r="S196">
        <v>37</v>
      </c>
      <c r="T196" s="1">
        <v>73.61</v>
      </c>
      <c r="U196" s="1">
        <v>48.42</v>
      </c>
      <c r="V196">
        <v>0</v>
      </c>
      <c r="W196" s="1">
        <v>0</v>
      </c>
      <c r="X196">
        <v>7</v>
      </c>
      <c r="Y196" s="1">
        <v>0</v>
      </c>
      <c r="Z196">
        <v>91</v>
      </c>
      <c r="AA196" s="1">
        <v>287.11</v>
      </c>
      <c r="AB196">
        <v>6</v>
      </c>
      <c r="AC196" s="1">
        <v>18.75</v>
      </c>
      <c r="AD196">
        <v>4</v>
      </c>
      <c r="AE196" s="1">
        <v>28.26</v>
      </c>
      <c r="AF196" s="1">
        <v>0</v>
      </c>
      <c r="AG196" s="1">
        <v>0</v>
      </c>
      <c r="AH196" s="1">
        <v>0</v>
      </c>
      <c r="AI196" s="1">
        <v>0</v>
      </c>
      <c r="AJ196" s="1">
        <v>185.73</v>
      </c>
      <c r="AL196" s="1">
        <v>3096.94</v>
      </c>
      <c r="AM196" s="1">
        <v>0</v>
      </c>
      <c r="AN196" s="1">
        <v>718</v>
      </c>
      <c r="AO196" s="1">
        <v>0</v>
      </c>
      <c r="AP196" s="1">
        <v>-3.73</v>
      </c>
      <c r="AQ196">
        <v>66</v>
      </c>
      <c r="AR196" s="1">
        <v>490.79</v>
      </c>
      <c r="AS196">
        <v>187</v>
      </c>
      <c r="AT196" s="1">
        <v>1519.06</v>
      </c>
      <c r="AU196">
        <v>7</v>
      </c>
      <c r="AV196" s="1">
        <v>42.31</v>
      </c>
      <c r="AW196">
        <v>2</v>
      </c>
      <c r="AX196" s="1">
        <v>21.46</v>
      </c>
      <c r="AY196">
        <v>40</v>
      </c>
      <c r="AZ196" s="1">
        <v>262.86</v>
      </c>
      <c r="BE196">
        <v>5</v>
      </c>
      <c r="BF196" s="1">
        <v>39.21</v>
      </c>
      <c r="BG196">
        <v>1</v>
      </c>
      <c r="BH196" s="1">
        <v>3.7</v>
      </c>
      <c r="BK196">
        <v>5</v>
      </c>
      <c r="BL196" s="1">
        <v>26</v>
      </c>
      <c r="BP196">
        <v>6</v>
      </c>
      <c r="BQ196" s="1">
        <v>124.7</v>
      </c>
      <c r="BR196" s="1">
        <v>117.64</v>
      </c>
      <c r="BZ196">
        <v>1</v>
      </c>
      <c r="CA196">
        <v>3</v>
      </c>
      <c r="CB196" s="1">
        <v>30.85</v>
      </c>
      <c r="CG196">
        <v>195</v>
      </c>
      <c r="CH196">
        <v>195</v>
      </c>
    </row>
    <row r="197" spans="1:86" x14ac:dyDescent="0.35">
      <c r="A197">
        <v>354030</v>
      </c>
      <c r="B197" s="2">
        <v>44213</v>
      </c>
      <c r="C197" s="2">
        <v>44213</v>
      </c>
      <c r="D197">
        <v>138</v>
      </c>
      <c r="E197" s="1">
        <v>439.55</v>
      </c>
      <c r="F197" s="1">
        <v>1521.68</v>
      </c>
      <c r="G197" s="1">
        <v>810.42</v>
      </c>
      <c r="H197" s="1">
        <v>817.6</v>
      </c>
      <c r="I197" s="1">
        <v>123.31</v>
      </c>
      <c r="J197" s="1">
        <v>3467.71</v>
      </c>
      <c r="K197" s="1">
        <v>208.57</v>
      </c>
      <c r="L197">
        <v>474</v>
      </c>
      <c r="M197" s="1">
        <v>213.65</v>
      </c>
      <c r="N197" s="1">
        <v>3639.37</v>
      </c>
      <c r="O197">
        <v>2</v>
      </c>
      <c r="P197" s="1">
        <v>10.06</v>
      </c>
      <c r="Q197">
        <v>7</v>
      </c>
      <c r="R197" s="1">
        <v>4.37</v>
      </c>
      <c r="S197">
        <v>34</v>
      </c>
      <c r="T197" s="1">
        <v>68.64</v>
      </c>
      <c r="U197" s="1">
        <v>93.67</v>
      </c>
      <c r="V197">
        <v>2</v>
      </c>
      <c r="W197" s="1">
        <v>35</v>
      </c>
      <c r="X197">
        <v>12</v>
      </c>
      <c r="Y197" s="1">
        <v>0</v>
      </c>
      <c r="Z197">
        <v>102</v>
      </c>
      <c r="AA197" s="1">
        <v>396.67</v>
      </c>
      <c r="AB197">
        <v>15</v>
      </c>
      <c r="AC197" s="1">
        <v>45.19</v>
      </c>
      <c r="AD197">
        <v>7</v>
      </c>
      <c r="AE197" s="1">
        <v>23.87</v>
      </c>
      <c r="AF197" s="1">
        <v>0</v>
      </c>
      <c r="AG197" s="1">
        <v>0</v>
      </c>
      <c r="AH197" s="1">
        <v>0</v>
      </c>
      <c r="AI197" s="1">
        <v>0</v>
      </c>
      <c r="AJ197" s="1">
        <v>220.65</v>
      </c>
      <c r="AL197" s="1">
        <v>3676.28</v>
      </c>
      <c r="AM197" s="1">
        <v>0</v>
      </c>
      <c r="AN197" s="1">
        <v>435</v>
      </c>
      <c r="AO197" s="1">
        <v>0</v>
      </c>
      <c r="AP197" s="1">
        <v>4.51</v>
      </c>
      <c r="AQ197">
        <v>61</v>
      </c>
      <c r="AR197" s="1">
        <v>583.01</v>
      </c>
      <c r="AS197">
        <v>232</v>
      </c>
      <c r="AT197" s="1">
        <v>2081.91</v>
      </c>
      <c r="AU197">
        <v>24</v>
      </c>
      <c r="AV197" s="1">
        <v>204.09</v>
      </c>
      <c r="AW197">
        <v>6</v>
      </c>
      <c r="AX197" s="1">
        <v>54.57</v>
      </c>
      <c r="AY197">
        <v>51</v>
      </c>
      <c r="AZ197" s="1">
        <v>318.35000000000002</v>
      </c>
      <c r="BE197">
        <v>10</v>
      </c>
      <c r="BF197" s="1">
        <v>50.45</v>
      </c>
      <c r="BG197">
        <v>4</v>
      </c>
      <c r="BH197" s="1">
        <v>43.73</v>
      </c>
      <c r="BK197">
        <v>8</v>
      </c>
      <c r="BL197" s="1">
        <v>82.45</v>
      </c>
      <c r="BP197">
        <v>1</v>
      </c>
      <c r="BQ197" s="1">
        <v>6.6</v>
      </c>
      <c r="BR197" s="1">
        <v>6.23</v>
      </c>
      <c r="BZ197">
        <v>1</v>
      </c>
      <c r="CA197">
        <v>5</v>
      </c>
      <c r="CB197" s="1">
        <v>76.28</v>
      </c>
      <c r="CG197">
        <v>196</v>
      </c>
      <c r="CH197">
        <v>196</v>
      </c>
    </row>
    <row r="198" spans="1:86" x14ac:dyDescent="0.35">
      <c r="A198">
        <v>355439</v>
      </c>
      <c r="B198" s="2">
        <v>44213</v>
      </c>
      <c r="C198" s="2">
        <v>44213</v>
      </c>
      <c r="D198">
        <v>161</v>
      </c>
      <c r="E198" s="1">
        <v>548.39</v>
      </c>
      <c r="F198" s="1">
        <v>1599.82</v>
      </c>
      <c r="G198" s="1">
        <v>849.6</v>
      </c>
      <c r="H198" s="1">
        <v>749.35</v>
      </c>
      <c r="I198" s="1">
        <v>89.37</v>
      </c>
      <c r="J198" s="1">
        <v>3567.73</v>
      </c>
      <c r="K198" s="1">
        <v>0</v>
      </c>
      <c r="L198">
        <v>564</v>
      </c>
      <c r="M198" s="1">
        <v>0</v>
      </c>
      <c r="N198" s="1">
        <v>3679.53</v>
      </c>
      <c r="O198">
        <v>1</v>
      </c>
      <c r="P198" s="1">
        <v>5.67</v>
      </c>
      <c r="Q198">
        <v>7</v>
      </c>
      <c r="R198" s="1">
        <v>6.27</v>
      </c>
      <c r="S198">
        <v>37</v>
      </c>
      <c r="T198" s="1">
        <v>67.12</v>
      </c>
      <c r="U198" s="1">
        <v>32.74</v>
      </c>
      <c r="V198">
        <v>0</v>
      </c>
      <c r="W198" s="1">
        <v>0</v>
      </c>
      <c r="X198">
        <v>16</v>
      </c>
      <c r="Y198" s="1">
        <v>0</v>
      </c>
      <c r="Z198">
        <v>82</v>
      </c>
      <c r="AA198" s="1">
        <v>211.94</v>
      </c>
      <c r="AB198">
        <v>12</v>
      </c>
      <c r="AC198" s="1">
        <v>25.18</v>
      </c>
      <c r="AD198">
        <v>3</v>
      </c>
      <c r="AE198" s="1">
        <v>0</v>
      </c>
      <c r="AF198" s="1">
        <v>0</v>
      </c>
      <c r="AG198" s="1">
        <v>0</v>
      </c>
      <c r="AH198" s="1">
        <v>0</v>
      </c>
      <c r="AI198" s="1">
        <v>0</v>
      </c>
      <c r="AJ198" s="1">
        <v>285.73</v>
      </c>
      <c r="AL198" s="1">
        <v>3567.73</v>
      </c>
      <c r="AM198" s="1">
        <v>0</v>
      </c>
      <c r="AN198" s="1">
        <v>472</v>
      </c>
      <c r="AO198" s="1">
        <v>0</v>
      </c>
      <c r="AP198" s="1">
        <v>8.92</v>
      </c>
      <c r="AQ198">
        <v>82</v>
      </c>
      <c r="AR198" s="1">
        <v>544.94000000000005</v>
      </c>
      <c r="AS198">
        <v>254</v>
      </c>
      <c r="AT198" s="1">
        <v>1919.55</v>
      </c>
      <c r="AU198">
        <v>36</v>
      </c>
      <c r="AV198" s="1">
        <v>293.8</v>
      </c>
      <c r="AW198">
        <v>4</v>
      </c>
      <c r="AX198" s="1">
        <v>31.05</v>
      </c>
      <c r="AY198">
        <v>47</v>
      </c>
      <c r="AZ198" s="1">
        <v>267.29000000000002</v>
      </c>
      <c r="BA198">
        <v>2</v>
      </c>
      <c r="BB198" s="1">
        <v>35.549999999999997</v>
      </c>
      <c r="BC198">
        <v>1</v>
      </c>
      <c r="BD198" s="1">
        <v>28.94</v>
      </c>
      <c r="BE198">
        <v>10</v>
      </c>
      <c r="BF198" s="1">
        <v>75.92</v>
      </c>
      <c r="BG198">
        <v>4</v>
      </c>
      <c r="BH198" s="1">
        <v>26.19</v>
      </c>
      <c r="BK198">
        <v>5</v>
      </c>
      <c r="BL198" s="1">
        <v>27.13</v>
      </c>
      <c r="BP198">
        <v>1</v>
      </c>
      <c r="BQ198" s="1">
        <v>20.68</v>
      </c>
      <c r="BR198" s="1">
        <v>19.149999999999999</v>
      </c>
      <c r="BZ198">
        <v>1</v>
      </c>
      <c r="CA198">
        <v>8</v>
      </c>
      <c r="CB198" s="1">
        <v>119.34</v>
      </c>
      <c r="CG198">
        <v>197</v>
      </c>
      <c r="CH198">
        <v>197</v>
      </c>
    </row>
    <row r="199" spans="1:86" x14ac:dyDescent="0.35">
      <c r="A199">
        <v>352613</v>
      </c>
      <c r="B199" s="2">
        <v>44213</v>
      </c>
      <c r="C199" s="2">
        <v>44213</v>
      </c>
      <c r="D199">
        <v>111</v>
      </c>
      <c r="E199">
        <v>415.59</v>
      </c>
      <c r="F199">
        <v>1691.42</v>
      </c>
      <c r="G199">
        <v>690.56</v>
      </c>
      <c r="H199">
        <v>860.12</v>
      </c>
      <c r="I199">
        <v>155.69</v>
      </c>
      <c r="J199">
        <v>3529.79</v>
      </c>
      <c r="K199">
        <v>314.09000000000003</v>
      </c>
      <c r="L199">
        <v>548</v>
      </c>
      <c r="M199">
        <v>320.32000000000005</v>
      </c>
      <c r="N199">
        <v>3653.36</v>
      </c>
      <c r="O199">
        <v>20</v>
      </c>
      <c r="P199">
        <v>23.41</v>
      </c>
      <c r="R199">
        <v>129.79999999999998</v>
      </c>
      <c r="V199">
        <v>0</v>
      </c>
      <c r="W199">
        <v>0</v>
      </c>
      <c r="X199">
        <v>0</v>
      </c>
      <c r="Y199">
        <v>0</v>
      </c>
      <c r="Z199">
        <v>79</v>
      </c>
      <c r="AA199">
        <v>150.82</v>
      </c>
      <c r="AB199">
        <v>11</v>
      </c>
      <c r="AC199">
        <v>484.45</v>
      </c>
      <c r="AD199">
        <v>22</v>
      </c>
      <c r="AE199">
        <v>61.33</v>
      </c>
      <c r="AH199">
        <v>0</v>
      </c>
      <c r="AJ199">
        <v>307.70999999999998</v>
      </c>
      <c r="AN199">
        <v>1066</v>
      </c>
      <c r="AO199">
        <v>0</v>
      </c>
      <c r="AP199">
        <v>-0.54999999999995453</v>
      </c>
      <c r="AQ199">
        <v>65</v>
      </c>
      <c r="AR199">
        <v>554.28</v>
      </c>
      <c r="AS199">
        <v>224</v>
      </c>
      <c r="AT199">
        <v>1878.34</v>
      </c>
      <c r="AU199">
        <v>12</v>
      </c>
      <c r="AV199">
        <v>122.23</v>
      </c>
      <c r="AW199">
        <v>9</v>
      </c>
      <c r="AX199">
        <v>78.37</v>
      </c>
      <c r="AY199">
        <v>47</v>
      </c>
      <c r="AZ199">
        <v>261.57</v>
      </c>
      <c r="BP199">
        <v>9</v>
      </c>
      <c r="BQ199">
        <v>159.99</v>
      </c>
      <c r="BR199">
        <v>104.31</v>
      </c>
      <c r="BS199">
        <v>3843.88</v>
      </c>
      <c r="BV199">
        <v>0</v>
      </c>
      <c r="BW199">
        <v>0</v>
      </c>
      <c r="BZ199">
        <v>1</v>
      </c>
      <c r="CA199">
        <v>2</v>
      </c>
      <c r="CB199">
        <v>30.26</v>
      </c>
      <c r="CG199">
        <v>198</v>
      </c>
      <c r="CH199">
        <v>198</v>
      </c>
    </row>
    <row r="200" spans="1:86" x14ac:dyDescent="0.35">
      <c r="A200">
        <v>357150</v>
      </c>
      <c r="B200" s="2">
        <v>44213</v>
      </c>
      <c r="C200" s="2">
        <v>44213</v>
      </c>
      <c r="D200">
        <v>177</v>
      </c>
      <c r="E200">
        <v>630.63</v>
      </c>
      <c r="F200">
        <v>1808.2</v>
      </c>
      <c r="G200">
        <v>584.95000000000005</v>
      </c>
      <c r="H200">
        <v>597.22</v>
      </c>
      <c r="I200">
        <v>70.62</v>
      </c>
      <c r="J200">
        <v>3318.2400000000002</v>
      </c>
      <c r="K200">
        <v>329.45000000000005</v>
      </c>
      <c r="L200">
        <v>488</v>
      </c>
      <c r="M200">
        <v>340.71000000000004</v>
      </c>
      <c r="N200">
        <v>3413.65</v>
      </c>
      <c r="O200">
        <v>0</v>
      </c>
      <c r="P200">
        <v>0</v>
      </c>
      <c r="R200">
        <v>106.67</v>
      </c>
      <c r="V200">
        <v>2</v>
      </c>
      <c r="W200">
        <v>30</v>
      </c>
      <c r="X200">
        <v>0</v>
      </c>
      <c r="Y200">
        <v>0</v>
      </c>
      <c r="Z200">
        <v>74</v>
      </c>
      <c r="AA200">
        <v>228.34</v>
      </c>
      <c r="AB200">
        <v>5</v>
      </c>
      <c r="AC200">
        <v>22.57</v>
      </c>
      <c r="AD200">
        <v>34</v>
      </c>
      <c r="AE200">
        <v>364.04</v>
      </c>
      <c r="AH200">
        <v>0</v>
      </c>
      <c r="AJ200">
        <v>291.97000000000003</v>
      </c>
      <c r="AN200">
        <v>0</v>
      </c>
      <c r="AO200">
        <v>0</v>
      </c>
      <c r="AP200">
        <v>-1212.6500000000001</v>
      </c>
      <c r="AQ200">
        <v>86</v>
      </c>
      <c r="AR200">
        <v>793.15</v>
      </c>
      <c r="AS200">
        <v>177</v>
      </c>
      <c r="AT200">
        <v>1510.1</v>
      </c>
      <c r="AU200">
        <v>7</v>
      </c>
      <c r="AV200">
        <v>44.12</v>
      </c>
      <c r="AW200">
        <v>6</v>
      </c>
      <c r="AX200">
        <v>60.76</v>
      </c>
      <c r="AY200">
        <v>50</v>
      </c>
      <c r="AZ200">
        <v>348.88</v>
      </c>
      <c r="BS200">
        <v>3647.69</v>
      </c>
      <c r="BV200">
        <v>0</v>
      </c>
      <c r="BW200">
        <v>0</v>
      </c>
      <c r="BZ200">
        <v>1</v>
      </c>
      <c r="CG200">
        <v>199</v>
      </c>
      <c r="CH200">
        <v>199</v>
      </c>
    </row>
    <row r="201" spans="1:86" x14ac:dyDescent="0.35">
      <c r="A201">
        <v>358682</v>
      </c>
      <c r="B201" s="2">
        <v>44213</v>
      </c>
      <c r="C201" s="2">
        <v>44213</v>
      </c>
      <c r="D201">
        <v>70</v>
      </c>
      <c r="E201">
        <v>257.7</v>
      </c>
      <c r="F201">
        <v>926.05000000000007</v>
      </c>
      <c r="G201">
        <v>230.67</v>
      </c>
      <c r="H201">
        <v>664.97</v>
      </c>
      <c r="I201">
        <v>102.98</v>
      </c>
      <c r="J201">
        <v>2059.8799999999997</v>
      </c>
      <c r="K201">
        <v>173.01</v>
      </c>
      <c r="L201">
        <v>271</v>
      </c>
      <c r="M201">
        <v>175.66</v>
      </c>
      <c r="N201">
        <v>2129.9399999999996</v>
      </c>
      <c r="O201">
        <v>0</v>
      </c>
      <c r="P201">
        <v>0</v>
      </c>
      <c r="R201">
        <v>72.710000000000008</v>
      </c>
      <c r="V201">
        <v>0</v>
      </c>
      <c r="W201">
        <v>0</v>
      </c>
      <c r="X201">
        <v>0</v>
      </c>
      <c r="Y201">
        <v>0</v>
      </c>
      <c r="Z201">
        <v>40</v>
      </c>
      <c r="AA201">
        <v>155.55000000000001</v>
      </c>
      <c r="AB201">
        <v>7</v>
      </c>
      <c r="AC201">
        <v>34.619999999999997</v>
      </c>
      <c r="AD201">
        <v>24</v>
      </c>
      <c r="AE201">
        <v>31.29</v>
      </c>
      <c r="AH201">
        <v>0</v>
      </c>
      <c r="AJ201">
        <v>198.2</v>
      </c>
      <c r="AN201">
        <v>330.1</v>
      </c>
      <c r="AO201">
        <v>0</v>
      </c>
      <c r="AP201">
        <v>4.7200000000000273</v>
      </c>
      <c r="AQ201">
        <v>33</v>
      </c>
      <c r="AR201">
        <v>295.57</v>
      </c>
      <c r="AS201">
        <v>118</v>
      </c>
      <c r="AT201">
        <v>1083.98</v>
      </c>
      <c r="AU201">
        <v>22</v>
      </c>
      <c r="AV201">
        <v>202.17</v>
      </c>
      <c r="AW201">
        <v>7</v>
      </c>
      <c r="AX201">
        <v>73.569999999999993</v>
      </c>
      <c r="AY201">
        <v>34</v>
      </c>
      <c r="AZ201">
        <v>177.82</v>
      </c>
      <c r="BM201">
        <v>1</v>
      </c>
      <c r="BN201">
        <v>8.4700000000000006</v>
      </c>
      <c r="BP201">
        <v>12</v>
      </c>
      <c r="BQ201">
        <v>156.43</v>
      </c>
      <c r="BR201">
        <v>143.66</v>
      </c>
      <c r="BS201">
        <v>2223.2199999999998</v>
      </c>
      <c r="BV201">
        <v>10.5300000000002</v>
      </c>
      <c r="BW201">
        <v>0</v>
      </c>
      <c r="BZ201">
        <v>1</v>
      </c>
      <c r="CA201">
        <v>7</v>
      </c>
      <c r="CB201">
        <v>95.87</v>
      </c>
      <c r="CG201">
        <v>200</v>
      </c>
      <c r="CH201">
        <v>200</v>
      </c>
    </row>
    <row r="202" spans="1:86" x14ac:dyDescent="0.35">
      <c r="A202">
        <v>359606</v>
      </c>
      <c r="B202" s="2">
        <v>44213</v>
      </c>
      <c r="C202" s="2">
        <v>44213</v>
      </c>
      <c r="D202">
        <v>39</v>
      </c>
      <c r="E202">
        <v>131.61000000000001</v>
      </c>
      <c r="F202">
        <v>533.28</v>
      </c>
      <c r="G202">
        <v>223.62</v>
      </c>
      <c r="H202">
        <v>298.77999999999997</v>
      </c>
      <c r="I202">
        <v>52.69</v>
      </c>
      <c r="J202">
        <v>1140.0999999999999</v>
      </c>
      <c r="K202">
        <v>31.32</v>
      </c>
      <c r="L202">
        <v>209</v>
      </c>
      <c r="M202">
        <v>31.32</v>
      </c>
      <c r="N202">
        <v>1192.1299999999999</v>
      </c>
      <c r="O202">
        <v>0</v>
      </c>
      <c r="P202">
        <v>0</v>
      </c>
      <c r="R202">
        <v>52.03</v>
      </c>
      <c r="V202">
        <v>0</v>
      </c>
      <c r="W202">
        <v>0</v>
      </c>
      <c r="X202">
        <v>0</v>
      </c>
      <c r="Y202">
        <v>0</v>
      </c>
      <c r="Z202">
        <v>31</v>
      </c>
      <c r="AA202">
        <v>60.79</v>
      </c>
      <c r="AB202">
        <v>5</v>
      </c>
      <c r="AC202">
        <v>24.65</v>
      </c>
      <c r="AD202">
        <v>0</v>
      </c>
      <c r="AE202">
        <v>0</v>
      </c>
      <c r="AH202">
        <v>0</v>
      </c>
      <c r="AJ202">
        <v>104.17</v>
      </c>
      <c r="AN202">
        <v>186.5</v>
      </c>
      <c r="AO202">
        <v>0</v>
      </c>
      <c r="AP202">
        <v>-4.4799999999999898</v>
      </c>
      <c r="AQ202">
        <v>28</v>
      </c>
      <c r="AR202">
        <v>184.4</v>
      </c>
      <c r="AS202">
        <v>91</v>
      </c>
      <c r="AT202">
        <v>575.07000000000005</v>
      </c>
      <c r="AU202">
        <v>20</v>
      </c>
      <c r="AV202">
        <v>135.63</v>
      </c>
      <c r="AW202">
        <v>1</v>
      </c>
      <c r="AX202">
        <v>10.19</v>
      </c>
      <c r="AY202">
        <v>29</v>
      </c>
      <c r="AZ202">
        <v>156.76</v>
      </c>
      <c r="BP202">
        <v>2</v>
      </c>
      <c r="BQ202">
        <v>22.56</v>
      </c>
      <c r="BR202">
        <v>20.72</v>
      </c>
      <c r="BS202">
        <v>1158.76</v>
      </c>
      <c r="BV202">
        <v>9.5199999999999818</v>
      </c>
      <c r="BW202">
        <v>9.52</v>
      </c>
      <c r="BZ202">
        <v>1</v>
      </c>
      <c r="CG202">
        <v>201</v>
      </c>
      <c r="CH202">
        <v>201</v>
      </c>
    </row>
    <row r="203" spans="1:86" x14ac:dyDescent="0.35">
      <c r="A203">
        <v>350432</v>
      </c>
      <c r="B203" s="2">
        <v>44214</v>
      </c>
      <c r="C203" s="2">
        <v>44214</v>
      </c>
      <c r="D203">
        <v>190</v>
      </c>
      <c r="E203" s="1">
        <v>557.63</v>
      </c>
      <c r="F203" s="1">
        <v>1857.69</v>
      </c>
      <c r="G203" s="1">
        <v>467.66</v>
      </c>
      <c r="H203" s="1">
        <v>937.45</v>
      </c>
      <c r="I203" s="1">
        <v>115</v>
      </c>
      <c r="J203" s="1">
        <v>3620.71</v>
      </c>
      <c r="K203" s="1">
        <v>453.49</v>
      </c>
      <c r="L203">
        <v>693</v>
      </c>
      <c r="M203" s="1">
        <v>469.45</v>
      </c>
      <c r="N203" s="1">
        <v>3789.75</v>
      </c>
      <c r="O203">
        <v>0</v>
      </c>
      <c r="P203" s="1">
        <v>0</v>
      </c>
      <c r="Q203">
        <v>15</v>
      </c>
      <c r="R203" s="1">
        <v>9.25</v>
      </c>
      <c r="S203">
        <v>53</v>
      </c>
      <c r="T203" s="1">
        <v>125.27</v>
      </c>
      <c r="U203" s="1">
        <v>50.48</v>
      </c>
      <c r="V203">
        <v>0</v>
      </c>
      <c r="W203" s="1">
        <v>0</v>
      </c>
      <c r="X203">
        <v>38</v>
      </c>
      <c r="Y203" s="1">
        <v>0</v>
      </c>
      <c r="Z203">
        <v>172</v>
      </c>
      <c r="AA203" s="1">
        <v>548.70000000000005</v>
      </c>
      <c r="AB203">
        <v>19</v>
      </c>
      <c r="AC203" s="1">
        <v>44.02</v>
      </c>
      <c r="AD203">
        <v>3</v>
      </c>
      <c r="AE203" s="1">
        <v>7.93</v>
      </c>
      <c r="AF203" s="1">
        <v>0</v>
      </c>
      <c r="AG203" s="1">
        <v>0</v>
      </c>
      <c r="AH203" s="1">
        <v>0</v>
      </c>
      <c r="AI203" s="1">
        <v>0</v>
      </c>
      <c r="AJ203" s="1">
        <v>362.37</v>
      </c>
      <c r="AL203" s="1">
        <v>4074.2</v>
      </c>
      <c r="AM203" s="1">
        <v>0</v>
      </c>
      <c r="AN203" s="1">
        <v>773</v>
      </c>
      <c r="AO203" s="1">
        <v>0</v>
      </c>
      <c r="AP203" s="1">
        <v>4.41</v>
      </c>
      <c r="AQ203">
        <v>76</v>
      </c>
      <c r="AR203" s="1">
        <v>515.86</v>
      </c>
      <c r="AS203">
        <v>326</v>
      </c>
      <c r="AT203" s="1">
        <v>2242.31</v>
      </c>
      <c r="AU203">
        <v>26</v>
      </c>
      <c r="AV203" s="1">
        <v>127.89</v>
      </c>
      <c r="AW203">
        <v>11</v>
      </c>
      <c r="AX203" s="1">
        <v>92.84</v>
      </c>
      <c r="AY203">
        <v>48</v>
      </c>
      <c r="AZ203" s="1">
        <v>230.26</v>
      </c>
      <c r="BA203">
        <v>2</v>
      </c>
      <c r="BB203" s="1">
        <v>14.64</v>
      </c>
      <c r="BC203">
        <v>2</v>
      </c>
      <c r="BD203" s="1">
        <v>11.94</v>
      </c>
      <c r="BE203">
        <v>9</v>
      </c>
      <c r="BF203" s="1">
        <v>45.19</v>
      </c>
      <c r="BG203">
        <v>6</v>
      </c>
      <c r="BH203" s="1">
        <v>69.13</v>
      </c>
      <c r="BK203">
        <v>6</v>
      </c>
      <c r="BL203" s="1">
        <v>35.56</v>
      </c>
      <c r="BM203">
        <v>2</v>
      </c>
      <c r="BN203" s="1">
        <v>13.07</v>
      </c>
      <c r="BO203" s="1">
        <v>12</v>
      </c>
      <c r="BP203">
        <v>14</v>
      </c>
      <c r="BQ203" s="1">
        <v>212.97</v>
      </c>
      <c r="BR203" s="1">
        <v>195.57</v>
      </c>
      <c r="BZ203">
        <v>1</v>
      </c>
      <c r="CA203">
        <v>4</v>
      </c>
      <c r="CB203" s="1">
        <v>56.32</v>
      </c>
      <c r="CG203">
        <v>202</v>
      </c>
      <c r="CH203">
        <v>202</v>
      </c>
    </row>
    <row r="204" spans="1:86" x14ac:dyDescent="0.35">
      <c r="A204">
        <v>350437</v>
      </c>
      <c r="B204" s="2">
        <v>44214</v>
      </c>
      <c r="C204" s="2">
        <v>44214</v>
      </c>
      <c r="D204">
        <v>85</v>
      </c>
      <c r="E204" s="1">
        <v>275.39</v>
      </c>
      <c r="F204" s="1">
        <v>977.08</v>
      </c>
      <c r="G204" s="1">
        <v>459.15</v>
      </c>
      <c r="H204" s="1">
        <v>507.37</v>
      </c>
      <c r="I204" s="1">
        <v>72.61</v>
      </c>
      <c r="J204" s="1">
        <v>2204.46</v>
      </c>
      <c r="K204" s="1">
        <v>0</v>
      </c>
      <c r="L204">
        <v>385</v>
      </c>
      <c r="M204" s="1">
        <v>0</v>
      </c>
      <c r="N204" s="1">
        <v>2282.61</v>
      </c>
      <c r="O204">
        <v>2</v>
      </c>
      <c r="P204" s="1">
        <v>7.56</v>
      </c>
      <c r="Q204">
        <v>6</v>
      </c>
      <c r="R204" s="1">
        <v>11.08</v>
      </c>
      <c r="S204">
        <v>17</v>
      </c>
      <c r="T204" s="1">
        <v>38.11</v>
      </c>
      <c r="U204" s="1">
        <v>21.4</v>
      </c>
      <c r="V204">
        <v>0</v>
      </c>
      <c r="W204" s="1">
        <v>0</v>
      </c>
      <c r="X204">
        <v>15</v>
      </c>
      <c r="Y204" s="1">
        <v>0</v>
      </c>
      <c r="Z204">
        <v>77</v>
      </c>
      <c r="AA204" s="1">
        <v>176.54</v>
      </c>
      <c r="AB204">
        <v>15</v>
      </c>
      <c r="AC204" s="1">
        <v>38.99</v>
      </c>
      <c r="AD204">
        <v>2</v>
      </c>
      <c r="AE204" s="1">
        <v>2.6</v>
      </c>
      <c r="AF204" s="1">
        <v>0</v>
      </c>
      <c r="AG204" s="1">
        <v>0</v>
      </c>
      <c r="AH204" s="1">
        <v>0</v>
      </c>
      <c r="AI204" s="1">
        <v>0</v>
      </c>
      <c r="AJ204" s="1">
        <v>196.08</v>
      </c>
      <c r="AL204" s="1">
        <v>2204.46</v>
      </c>
      <c r="AM204" s="1">
        <v>0</v>
      </c>
      <c r="AN204" s="1">
        <v>431</v>
      </c>
      <c r="AO204" s="1">
        <v>0</v>
      </c>
      <c r="AP204" s="1">
        <v>11.4</v>
      </c>
      <c r="AQ204">
        <v>37</v>
      </c>
      <c r="AR204" s="1">
        <v>240.44</v>
      </c>
      <c r="AS204">
        <v>166</v>
      </c>
      <c r="AT204" s="1">
        <v>1071.97</v>
      </c>
      <c r="AU204">
        <v>32</v>
      </c>
      <c r="AV204" s="1">
        <v>231.65</v>
      </c>
      <c r="AW204">
        <v>8</v>
      </c>
      <c r="AX204" s="1">
        <v>41.93</v>
      </c>
      <c r="AY204">
        <v>35</v>
      </c>
      <c r="AZ204" s="1">
        <v>179.4</v>
      </c>
      <c r="BC204">
        <v>1</v>
      </c>
      <c r="BD204" s="1">
        <v>10.53</v>
      </c>
      <c r="BE204">
        <v>8</v>
      </c>
      <c r="BF204" s="1">
        <v>33.450000000000003</v>
      </c>
      <c r="BG204">
        <v>3</v>
      </c>
      <c r="BH204" s="1">
        <v>16.579999999999998</v>
      </c>
      <c r="BK204">
        <v>6</v>
      </c>
      <c r="BL204" s="1">
        <v>30.21</v>
      </c>
      <c r="BP204">
        <v>3</v>
      </c>
      <c r="BQ204" s="1">
        <v>64.88</v>
      </c>
      <c r="BR204" s="1">
        <v>59.58</v>
      </c>
      <c r="BZ204">
        <v>1</v>
      </c>
      <c r="CA204">
        <v>6</v>
      </c>
      <c r="CB204" s="1">
        <v>59.9</v>
      </c>
      <c r="CG204">
        <v>203</v>
      </c>
      <c r="CH204">
        <v>203</v>
      </c>
    </row>
    <row r="205" spans="1:86" x14ac:dyDescent="0.35">
      <c r="A205">
        <v>351323</v>
      </c>
      <c r="B205" s="2">
        <v>44214</v>
      </c>
      <c r="C205" s="2">
        <v>44214</v>
      </c>
      <c r="D205">
        <v>124</v>
      </c>
      <c r="E205" s="1">
        <v>425.6</v>
      </c>
      <c r="F205" s="1">
        <v>1437.18</v>
      </c>
      <c r="G205" s="1">
        <v>447.65</v>
      </c>
      <c r="H205" s="1">
        <v>555.12</v>
      </c>
      <c r="I205" s="1">
        <v>96.1</v>
      </c>
      <c r="J205" s="1">
        <v>2657.94</v>
      </c>
      <c r="K205" s="1">
        <v>417.16</v>
      </c>
      <c r="L205">
        <v>513</v>
      </c>
      <c r="M205" s="1">
        <v>421.54</v>
      </c>
      <c r="N205" s="1">
        <v>2733.82</v>
      </c>
      <c r="O205">
        <v>0</v>
      </c>
      <c r="P205" s="1">
        <v>0</v>
      </c>
      <c r="Q205">
        <v>2</v>
      </c>
      <c r="R205" s="1">
        <v>0.12</v>
      </c>
      <c r="S205">
        <v>28</v>
      </c>
      <c r="T205" s="1">
        <v>43.18</v>
      </c>
      <c r="U205" s="1">
        <v>36.96</v>
      </c>
      <c r="V205">
        <v>0</v>
      </c>
      <c r="W205" s="1">
        <v>0</v>
      </c>
      <c r="X205">
        <v>12</v>
      </c>
      <c r="Y205" s="1">
        <v>0</v>
      </c>
      <c r="Z205">
        <v>113</v>
      </c>
      <c r="AA205" s="1">
        <v>332.62</v>
      </c>
      <c r="AB205">
        <v>6</v>
      </c>
      <c r="AC205" s="1">
        <v>11.55</v>
      </c>
      <c r="AD205">
        <v>6</v>
      </c>
      <c r="AE205" s="1">
        <v>16.27</v>
      </c>
      <c r="AF205" s="1">
        <v>0</v>
      </c>
      <c r="AG205" s="1">
        <v>0</v>
      </c>
      <c r="AH205" s="1">
        <v>0</v>
      </c>
      <c r="AI205" s="1">
        <v>0</v>
      </c>
      <c r="AJ205" s="1">
        <v>184.38</v>
      </c>
      <c r="AL205" s="1">
        <v>3075.1</v>
      </c>
      <c r="AM205" s="1">
        <v>0</v>
      </c>
      <c r="AN205" s="1">
        <v>650</v>
      </c>
      <c r="AO205" s="1">
        <v>3.17</v>
      </c>
      <c r="AP205" s="1">
        <v>-1.51</v>
      </c>
      <c r="AQ205">
        <v>81</v>
      </c>
      <c r="AR205" s="1">
        <v>487.47</v>
      </c>
      <c r="AS205">
        <v>220</v>
      </c>
      <c r="AT205" s="1">
        <v>1542.48</v>
      </c>
      <c r="AU205">
        <v>13</v>
      </c>
      <c r="AV205" s="1">
        <v>116.35</v>
      </c>
      <c r="AW205">
        <v>5</v>
      </c>
      <c r="AX205" s="1">
        <v>38.53</v>
      </c>
      <c r="AY205">
        <v>49</v>
      </c>
      <c r="AZ205" s="1">
        <v>252.03</v>
      </c>
      <c r="BA205">
        <v>1</v>
      </c>
      <c r="BB205" s="1">
        <v>4.55</v>
      </c>
      <c r="BC205">
        <v>2</v>
      </c>
      <c r="BD205" s="1">
        <v>31.48</v>
      </c>
      <c r="BE205">
        <v>4</v>
      </c>
      <c r="BF205" s="1">
        <v>12.14</v>
      </c>
      <c r="BG205">
        <v>2</v>
      </c>
      <c r="BH205" s="1">
        <v>5.28</v>
      </c>
      <c r="BK205">
        <v>6</v>
      </c>
      <c r="BL205" s="1">
        <v>76.89</v>
      </c>
      <c r="BP205">
        <v>2</v>
      </c>
      <c r="BQ205" s="1">
        <v>28.67</v>
      </c>
      <c r="BR205" s="1">
        <v>27.05</v>
      </c>
      <c r="BZ205">
        <v>1</v>
      </c>
      <c r="CA205">
        <v>1</v>
      </c>
      <c r="CB205" s="1">
        <v>8.93</v>
      </c>
      <c r="CG205">
        <v>204</v>
      </c>
      <c r="CH205">
        <v>204</v>
      </c>
    </row>
    <row r="206" spans="1:86" x14ac:dyDescent="0.35">
      <c r="A206">
        <v>352613</v>
      </c>
      <c r="B206" s="2">
        <v>44214</v>
      </c>
      <c r="C206" s="2">
        <v>44214</v>
      </c>
      <c r="D206">
        <v>110</v>
      </c>
      <c r="E206">
        <v>391.2</v>
      </c>
      <c r="F206">
        <v>1535.5800000000002</v>
      </c>
      <c r="G206">
        <v>540.47</v>
      </c>
      <c r="H206">
        <v>539.75</v>
      </c>
      <c r="I206">
        <v>180.10999999999999</v>
      </c>
      <c r="J206">
        <v>2816.09</v>
      </c>
      <c r="K206">
        <v>235.04999999999995</v>
      </c>
      <c r="L206">
        <v>550</v>
      </c>
      <c r="M206">
        <v>239.15999999999997</v>
      </c>
      <c r="N206">
        <v>2951.7000000000003</v>
      </c>
      <c r="O206">
        <v>0</v>
      </c>
      <c r="P206">
        <v>0</v>
      </c>
      <c r="R206">
        <v>139.72000000000003</v>
      </c>
      <c r="V206">
        <v>0</v>
      </c>
      <c r="W206">
        <v>0</v>
      </c>
      <c r="X206">
        <v>0</v>
      </c>
      <c r="Y206">
        <v>0</v>
      </c>
      <c r="Z206">
        <v>60</v>
      </c>
      <c r="AA206">
        <v>94.48</v>
      </c>
      <c r="AB206">
        <v>10</v>
      </c>
      <c r="AC206">
        <v>69.099999999999994</v>
      </c>
      <c r="AD206">
        <v>53</v>
      </c>
      <c r="AE206">
        <v>80.17</v>
      </c>
      <c r="AH206">
        <v>0</v>
      </c>
      <c r="AJ206">
        <v>244.25</v>
      </c>
      <c r="AN206">
        <v>817</v>
      </c>
      <c r="AO206">
        <v>0</v>
      </c>
      <c r="AP206">
        <v>-1.5199999999999818</v>
      </c>
      <c r="AQ206">
        <v>62</v>
      </c>
      <c r="AR206">
        <v>425.67</v>
      </c>
      <c r="AS206">
        <v>239</v>
      </c>
      <c r="AT206">
        <v>1591.94</v>
      </c>
      <c r="AU206">
        <v>12</v>
      </c>
      <c r="AV206">
        <v>82.74</v>
      </c>
      <c r="AW206">
        <v>4</v>
      </c>
      <c r="AX206">
        <v>24.13</v>
      </c>
      <c r="AY206">
        <v>54</v>
      </c>
      <c r="AZ206">
        <v>248.1</v>
      </c>
      <c r="BP206">
        <v>3</v>
      </c>
      <c r="BQ206">
        <v>40.5</v>
      </c>
      <c r="BR206">
        <v>37.5</v>
      </c>
      <c r="BS206">
        <v>3042.71</v>
      </c>
      <c r="BV206">
        <v>13.710000000000036</v>
      </c>
      <c r="BW206">
        <v>4.6100000000000003</v>
      </c>
      <c r="BZ206">
        <v>1</v>
      </c>
      <c r="CA206">
        <v>4</v>
      </c>
      <c r="CB206">
        <v>54.69</v>
      </c>
      <c r="CG206">
        <v>205</v>
      </c>
      <c r="CH206">
        <v>205</v>
      </c>
    </row>
    <row r="207" spans="1:86" x14ac:dyDescent="0.35">
      <c r="A207">
        <v>353927</v>
      </c>
      <c r="B207" s="2">
        <v>44214</v>
      </c>
      <c r="C207" s="2">
        <v>44214</v>
      </c>
      <c r="D207">
        <v>134</v>
      </c>
      <c r="E207" s="1">
        <v>440.79</v>
      </c>
      <c r="F207" s="1">
        <v>1638.83</v>
      </c>
      <c r="G207" s="1">
        <v>576.71</v>
      </c>
      <c r="H207" s="1">
        <v>720.22</v>
      </c>
      <c r="I207" s="1">
        <v>107.16</v>
      </c>
      <c r="J207" s="1">
        <v>3206.49</v>
      </c>
      <c r="K207" s="1">
        <v>0</v>
      </c>
      <c r="L207">
        <v>575</v>
      </c>
      <c r="M207" s="1">
        <v>0</v>
      </c>
      <c r="N207" s="1">
        <v>3358.54</v>
      </c>
      <c r="O207">
        <v>1</v>
      </c>
      <c r="P207" s="1">
        <v>4.8899999999999997</v>
      </c>
      <c r="Q207">
        <v>6</v>
      </c>
      <c r="R207" s="1">
        <v>11.22</v>
      </c>
      <c r="S207">
        <v>49</v>
      </c>
      <c r="T207" s="1">
        <v>84.98</v>
      </c>
      <c r="U207" s="1">
        <v>50.96</v>
      </c>
      <c r="V207">
        <v>0</v>
      </c>
      <c r="W207" s="1">
        <v>0</v>
      </c>
      <c r="X207">
        <v>21</v>
      </c>
      <c r="Y207" s="1">
        <v>0</v>
      </c>
      <c r="Z207">
        <v>83</v>
      </c>
      <c r="AA207" s="1">
        <v>211.81</v>
      </c>
      <c r="AB207">
        <v>15</v>
      </c>
      <c r="AC207" s="1">
        <v>28.57</v>
      </c>
      <c r="AD207">
        <v>2</v>
      </c>
      <c r="AE207" s="1">
        <v>0</v>
      </c>
      <c r="AF207" s="1">
        <v>0</v>
      </c>
      <c r="AG207" s="1">
        <v>0</v>
      </c>
      <c r="AH207" s="1">
        <v>0</v>
      </c>
      <c r="AI207" s="1">
        <v>0</v>
      </c>
      <c r="AJ207" s="1">
        <v>192.25</v>
      </c>
      <c r="AL207" s="1">
        <v>3206.49</v>
      </c>
      <c r="AM207" s="1">
        <v>0</v>
      </c>
      <c r="AN207" s="1">
        <v>731</v>
      </c>
      <c r="AO207" s="1">
        <v>0</v>
      </c>
      <c r="AP207" s="1">
        <v>3.94</v>
      </c>
      <c r="AQ207">
        <v>81</v>
      </c>
      <c r="AR207" s="1">
        <v>516.62</v>
      </c>
      <c r="AS207">
        <v>251</v>
      </c>
      <c r="AT207" s="1">
        <v>1600.04</v>
      </c>
      <c r="AU207">
        <v>12</v>
      </c>
      <c r="AV207" s="1">
        <v>71.36</v>
      </c>
      <c r="AW207">
        <v>4</v>
      </c>
      <c r="AX207" s="1">
        <v>31.57</v>
      </c>
      <c r="AY207">
        <v>49</v>
      </c>
      <c r="AZ207" s="1">
        <v>211.12</v>
      </c>
      <c r="BA207">
        <v>1</v>
      </c>
      <c r="BB207" s="1">
        <v>1.26</v>
      </c>
      <c r="BE207">
        <v>17</v>
      </c>
      <c r="BF207" s="1">
        <v>87.67</v>
      </c>
      <c r="BG207">
        <v>3</v>
      </c>
      <c r="BH207" s="1">
        <v>22.01</v>
      </c>
      <c r="BK207">
        <v>7</v>
      </c>
      <c r="BL207" s="1">
        <v>52.16</v>
      </c>
      <c r="BM207">
        <v>1</v>
      </c>
      <c r="BN207" s="1">
        <v>9.7100000000000009</v>
      </c>
      <c r="BO207" s="1">
        <v>9.16</v>
      </c>
      <c r="BP207">
        <v>4</v>
      </c>
      <c r="BQ207" s="1">
        <v>37.03</v>
      </c>
      <c r="BR207" s="1">
        <v>34.93</v>
      </c>
      <c r="BZ207">
        <v>1</v>
      </c>
      <c r="CA207">
        <v>3</v>
      </c>
      <c r="CB207" s="1">
        <v>31.13</v>
      </c>
      <c r="CG207">
        <v>206</v>
      </c>
      <c r="CH207">
        <v>206</v>
      </c>
    </row>
    <row r="208" spans="1:86" x14ac:dyDescent="0.35">
      <c r="A208">
        <v>354030</v>
      </c>
      <c r="B208" s="2">
        <v>44214</v>
      </c>
      <c r="C208" s="2">
        <v>44214</v>
      </c>
      <c r="D208">
        <v>112</v>
      </c>
      <c r="E208" s="1">
        <v>396.81</v>
      </c>
      <c r="F208" s="1">
        <v>1285.4000000000001</v>
      </c>
      <c r="G208" s="1">
        <v>612.70000000000005</v>
      </c>
      <c r="H208" s="1">
        <v>585.92999999999995</v>
      </c>
      <c r="I208" s="1">
        <v>90.1</v>
      </c>
      <c r="J208" s="1">
        <v>2719.72</v>
      </c>
      <c r="K208" s="1">
        <v>214.33</v>
      </c>
      <c r="L208">
        <v>452</v>
      </c>
      <c r="M208" s="1">
        <v>218.81</v>
      </c>
      <c r="N208" s="1">
        <v>2840.86</v>
      </c>
      <c r="O208">
        <v>0</v>
      </c>
      <c r="P208" s="1">
        <v>0</v>
      </c>
      <c r="Q208">
        <v>6</v>
      </c>
      <c r="R208" s="1">
        <v>18.28</v>
      </c>
      <c r="S208">
        <v>38</v>
      </c>
      <c r="T208" s="1">
        <v>61.14</v>
      </c>
      <c r="U208" s="1">
        <v>46.2</v>
      </c>
      <c r="V208">
        <v>1</v>
      </c>
      <c r="W208" s="1">
        <v>50</v>
      </c>
      <c r="X208">
        <v>5</v>
      </c>
      <c r="Y208" s="1">
        <v>0</v>
      </c>
      <c r="Z208">
        <v>48</v>
      </c>
      <c r="AA208" s="1">
        <v>152.72</v>
      </c>
      <c r="AB208">
        <v>11</v>
      </c>
      <c r="AC208" s="1">
        <v>27.89</v>
      </c>
      <c r="AD208">
        <v>3</v>
      </c>
      <c r="AE208" s="1">
        <v>17.829999999999998</v>
      </c>
      <c r="AF208" s="1">
        <v>0</v>
      </c>
      <c r="AG208" s="1">
        <v>0</v>
      </c>
      <c r="AH208" s="1">
        <v>0</v>
      </c>
      <c r="AI208" s="1">
        <v>0</v>
      </c>
      <c r="AJ208" s="1">
        <v>175.94</v>
      </c>
      <c r="AL208" s="1">
        <v>2934.05</v>
      </c>
      <c r="AM208" s="1">
        <v>0</v>
      </c>
      <c r="AN208" s="1">
        <v>370</v>
      </c>
      <c r="AO208" s="1">
        <v>0</v>
      </c>
      <c r="AP208" s="1">
        <v>-1.85</v>
      </c>
      <c r="AQ208">
        <v>75</v>
      </c>
      <c r="AR208" s="1">
        <v>587.08000000000004</v>
      </c>
      <c r="AS208">
        <v>192</v>
      </c>
      <c r="AT208" s="1">
        <v>1413.81</v>
      </c>
      <c r="AU208">
        <v>19</v>
      </c>
      <c r="AV208" s="1">
        <v>179.44</v>
      </c>
      <c r="AW208">
        <v>7</v>
      </c>
      <c r="AX208" s="1">
        <v>44.17</v>
      </c>
      <c r="AY208">
        <v>68</v>
      </c>
      <c r="AZ208" s="1">
        <v>339.35</v>
      </c>
      <c r="BA208">
        <v>1</v>
      </c>
      <c r="BB208" s="1">
        <v>3.91</v>
      </c>
      <c r="BC208">
        <v>2</v>
      </c>
      <c r="BD208" s="1">
        <v>20.74</v>
      </c>
      <c r="BE208">
        <v>13</v>
      </c>
      <c r="BF208" s="1">
        <v>73.430000000000007</v>
      </c>
      <c r="BG208">
        <v>3</v>
      </c>
      <c r="BH208" s="1">
        <v>17.059999999999999</v>
      </c>
      <c r="BK208">
        <v>3</v>
      </c>
      <c r="BL208" s="1">
        <v>16.07</v>
      </c>
      <c r="BP208">
        <v>5</v>
      </c>
      <c r="BQ208" s="1">
        <v>60.57</v>
      </c>
      <c r="BR208" s="1">
        <v>57.14</v>
      </c>
      <c r="BZ208">
        <v>1</v>
      </c>
      <c r="CA208">
        <v>3</v>
      </c>
      <c r="CB208" s="1">
        <v>32.51</v>
      </c>
      <c r="CG208">
        <v>207</v>
      </c>
      <c r="CH208">
        <v>207</v>
      </c>
    </row>
    <row r="209" spans="1:86" x14ac:dyDescent="0.35">
      <c r="A209">
        <v>350432</v>
      </c>
      <c r="B209" s="2">
        <v>44215</v>
      </c>
      <c r="C209" s="2">
        <v>44215</v>
      </c>
      <c r="D209">
        <v>166</v>
      </c>
      <c r="E209" s="1">
        <v>549.66999999999996</v>
      </c>
      <c r="F209" s="1">
        <v>1707.02</v>
      </c>
      <c r="G209" s="1">
        <v>391.79</v>
      </c>
      <c r="H209" s="1">
        <v>813.51</v>
      </c>
      <c r="I209" s="1">
        <v>116.26</v>
      </c>
      <c r="J209" s="1">
        <v>3254.21</v>
      </c>
      <c r="K209" s="1">
        <v>389.08</v>
      </c>
      <c r="L209">
        <v>669</v>
      </c>
      <c r="M209" s="1">
        <v>401.81</v>
      </c>
      <c r="N209" s="1">
        <v>3359.81</v>
      </c>
      <c r="O209">
        <v>1</v>
      </c>
      <c r="P209" s="1">
        <v>2.89</v>
      </c>
      <c r="Q209">
        <v>10</v>
      </c>
      <c r="R209" s="1">
        <v>4.6900000000000004</v>
      </c>
      <c r="S209">
        <v>41</v>
      </c>
      <c r="T209" s="1">
        <v>71.38</v>
      </c>
      <c r="U209" s="1">
        <v>39.369999999999997</v>
      </c>
      <c r="V209">
        <v>0</v>
      </c>
      <c r="W209" s="1">
        <v>0</v>
      </c>
      <c r="X209">
        <v>18</v>
      </c>
      <c r="Y209" s="1">
        <v>0</v>
      </c>
      <c r="Z209">
        <v>126</v>
      </c>
      <c r="AA209" s="1">
        <v>579.04</v>
      </c>
      <c r="AB209">
        <v>12</v>
      </c>
      <c r="AC209" s="1">
        <v>24.4</v>
      </c>
      <c r="AD209">
        <v>8</v>
      </c>
      <c r="AE209" s="1">
        <v>50.71</v>
      </c>
      <c r="AF209" s="1">
        <v>0</v>
      </c>
      <c r="AG209" s="1">
        <v>0</v>
      </c>
      <c r="AH209" s="1">
        <v>0</v>
      </c>
      <c r="AI209" s="1">
        <v>0</v>
      </c>
      <c r="AJ209" s="1">
        <v>323.95999999999998</v>
      </c>
      <c r="AL209" s="1">
        <v>3643.29</v>
      </c>
      <c r="AM209" s="1">
        <v>0</v>
      </c>
      <c r="AN209" s="1">
        <v>917</v>
      </c>
      <c r="AO209" s="1">
        <v>0</v>
      </c>
      <c r="AP209" s="1">
        <v>-12.89</v>
      </c>
      <c r="AQ209">
        <v>73</v>
      </c>
      <c r="AR209" s="1">
        <v>462.42</v>
      </c>
      <c r="AS209">
        <v>298</v>
      </c>
      <c r="AT209" s="1">
        <v>1782</v>
      </c>
      <c r="AU209">
        <v>31</v>
      </c>
      <c r="AV209" s="1">
        <v>216.62</v>
      </c>
      <c r="AW209">
        <v>9</v>
      </c>
      <c r="AX209" s="1">
        <v>53.2</v>
      </c>
      <c r="AY209">
        <v>50</v>
      </c>
      <c r="AZ209" s="1">
        <v>232.29</v>
      </c>
      <c r="BA209">
        <v>1</v>
      </c>
      <c r="BB209" s="1">
        <v>2.1800000000000002</v>
      </c>
      <c r="BC209">
        <v>2</v>
      </c>
      <c r="BD209" s="1">
        <v>14.77</v>
      </c>
      <c r="BE209">
        <v>12</v>
      </c>
      <c r="BF209" s="1">
        <v>99.24</v>
      </c>
      <c r="BG209">
        <v>2</v>
      </c>
      <c r="BH209" s="1">
        <v>11.62</v>
      </c>
      <c r="BK209">
        <v>9</v>
      </c>
      <c r="BL209" s="1">
        <v>60.58</v>
      </c>
      <c r="BP209">
        <v>5</v>
      </c>
      <c r="BQ209" s="1">
        <v>71.77</v>
      </c>
      <c r="BR209" s="1">
        <v>65.91</v>
      </c>
      <c r="BZ209">
        <v>1</v>
      </c>
      <c r="CA209">
        <v>3</v>
      </c>
      <c r="CB209" s="1">
        <v>30.67</v>
      </c>
      <c r="CG209">
        <v>208</v>
      </c>
      <c r="CH209">
        <v>208</v>
      </c>
    </row>
    <row r="210" spans="1:86" x14ac:dyDescent="0.35">
      <c r="A210">
        <v>350437</v>
      </c>
      <c r="B210" s="2">
        <v>44215</v>
      </c>
      <c r="C210" s="2">
        <v>44215</v>
      </c>
      <c r="D210">
        <v>64</v>
      </c>
      <c r="E210" s="1">
        <v>218.66</v>
      </c>
      <c r="F210" s="1">
        <v>1015.59</v>
      </c>
      <c r="G210" s="1">
        <v>301.66000000000003</v>
      </c>
      <c r="H210" s="1">
        <v>492.18</v>
      </c>
      <c r="I210" s="1">
        <v>86.91</v>
      </c>
      <c r="J210" s="1">
        <v>2068.42</v>
      </c>
      <c r="K210" s="1">
        <v>0</v>
      </c>
      <c r="L210">
        <v>401</v>
      </c>
      <c r="M210" s="1">
        <v>0</v>
      </c>
      <c r="N210" s="1">
        <v>2132.39</v>
      </c>
      <c r="O210">
        <v>1</v>
      </c>
      <c r="P210" s="1">
        <v>17.95</v>
      </c>
      <c r="Q210">
        <v>5</v>
      </c>
      <c r="R210" s="1">
        <v>0.96</v>
      </c>
      <c r="S210">
        <v>21</v>
      </c>
      <c r="T210" s="1">
        <v>33.5</v>
      </c>
      <c r="U210" s="1">
        <v>11.56</v>
      </c>
      <c r="V210">
        <v>2</v>
      </c>
      <c r="W210" s="1">
        <v>22</v>
      </c>
      <c r="X210">
        <v>9</v>
      </c>
      <c r="Y210" s="1">
        <v>0</v>
      </c>
      <c r="Z210">
        <v>39</v>
      </c>
      <c r="AA210" s="1">
        <v>103.25</v>
      </c>
      <c r="AB210">
        <v>9</v>
      </c>
      <c r="AC210" s="1">
        <v>22.21</v>
      </c>
      <c r="AD210">
        <v>2</v>
      </c>
      <c r="AE210" s="1">
        <v>5.33</v>
      </c>
      <c r="AF210" s="1">
        <v>0</v>
      </c>
      <c r="AG210" s="1">
        <v>0</v>
      </c>
      <c r="AH210" s="1">
        <v>0</v>
      </c>
      <c r="AI210" s="1">
        <v>0</v>
      </c>
      <c r="AJ210" s="1">
        <v>184.01</v>
      </c>
      <c r="AL210" s="1">
        <v>2068.42</v>
      </c>
      <c r="AM210" s="1">
        <v>0</v>
      </c>
      <c r="AN210" s="1">
        <v>426</v>
      </c>
      <c r="AO210" s="1">
        <v>0</v>
      </c>
      <c r="AP210" s="1">
        <v>0.16</v>
      </c>
      <c r="AQ210">
        <v>41</v>
      </c>
      <c r="AR210" s="1">
        <v>238.34</v>
      </c>
      <c r="AS210">
        <v>160</v>
      </c>
      <c r="AT210" s="1">
        <v>911.6</v>
      </c>
      <c r="AU210">
        <v>40</v>
      </c>
      <c r="AV210" s="1">
        <v>213.24</v>
      </c>
      <c r="AW210">
        <v>4</v>
      </c>
      <c r="AX210" s="1">
        <v>27.44</v>
      </c>
      <c r="AY210">
        <v>41</v>
      </c>
      <c r="AZ210" s="1">
        <v>235.11</v>
      </c>
      <c r="BC210">
        <v>1</v>
      </c>
      <c r="BD210" s="1">
        <v>10.33</v>
      </c>
      <c r="BE210">
        <v>9</v>
      </c>
      <c r="BF210" s="1">
        <v>42.04</v>
      </c>
      <c r="BG210">
        <v>1</v>
      </c>
      <c r="BH210" s="1">
        <v>2.38</v>
      </c>
      <c r="BK210">
        <v>3</v>
      </c>
      <c r="BL210" s="1">
        <v>22.83</v>
      </c>
      <c r="BM210">
        <v>1</v>
      </c>
      <c r="BN210" s="1">
        <v>16.16</v>
      </c>
      <c r="BO210" s="1">
        <v>14.84</v>
      </c>
      <c r="BP210">
        <v>7</v>
      </c>
      <c r="BQ210" s="1">
        <v>116.51</v>
      </c>
      <c r="BR210" s="1">
        <v>106.98</v>
      </c>
      <c r="BZ210">
        <v>1</v>
      </c>
      <c r="CA210">
        <v>1</v>
      </c>
      <c r="CB210" s="1">
        <v>12.61</v>
      </c>
      <c r="CG210">
        <v>209</v>
      </c>
      <c r="CH210">
        <v>209</v>
      </c>
    </row>
    <row r="211" spans="1:86" x14ac:dyDescent="0.35">
      <c r="A211">
        <v>351323</v>
      </c>
      <c r="B211" s="2">
        <v>44215</v>
      </c>
      <c r="C211" s="2">
        <v>44215</v>
      </c>
      <c r="D211">
        <v>122</v>
      </c>
      <c r="E211" s="1">
        <v>426.02</v>
      </c>
      <c r="F211" s="1">
        <v>1468.39</v>
      </c>
      <c r="G211" s="1">
        <v>400.42</v>
      </c>
      <c r="H211" s="1">
        <v>608.44000000000005</v>
      </c>
      <c r="I211" s="1">
        <v>117.65</v>
      </c>
      <c r="J211" s="1">
        <v>2777.04</v>
      </c>
      <c r="K211" s="1">
        <v>283.79000000000002</v>
      </c>
      <c r="L211">
        <v>567</v>
      </c>
      <c r="M211" s="1">
        <v>289.20999999999998</v>
      </c>
      <c r="N211" s="1">
        <v>2896.76</v>
      </c>
      <c r="O211">
        <v>0</v>
      </c>
      <c r="P211" s="1">
        <v>0</v>
      </c>
      <c r="Q211">
        <v>6</v>
      </c>
      <c r="R211" s="1">
        <v>1.2</v>
      </c>
      <c r="S211">
        <v>57</v>
      </c>
      <c r="T211" s="1">
        <v>86.45</v>
      </c>
      <c r="U211" s="1">
        <v>37.49</v>
      </c>
      <c r="V211">
        <v>0</v>
      </c>
      <c r="W211" s="1">
        <v>0</v>
      </c>
      <c r="X211">
        <v>12</v>
      </c>
      <c r="Y211" s="1">
        <v>0</v>
      </c>
      <c r="Z211">
        <v>81</v>
      </c>
      <c r="AA211" s="1">
        <v>275.63</v>
      </c>
      <c r="AB211">
        <v>12</v>
      </c>
      <c r="AC211" s="1">
        <v>29.4</v>
      </c>
      <c r="AD211">
        <v>5</v>
      </c>
      <c r="AE211" s="1">
        <v>11.94</v>
      </c>
      <c r="AF211" s="1">
        <v>0</v>
      </c>
      <c r="AG211" s="1">
        <v>0</v>
      </c>
      <c r="AH211" s="1">
        <v>0</v>
      </c>
      <c r="AI211" s="1">
        <v>0</v>
      </c>
      <c r="AJ211" s="1">
        <v>183.6</v>
      </c>
      <c r="AL211" s="1">
        <v>3060.83</v>
      </c>
      <c r="AM211" s="1">
        <v>0</v>
      </c>
      <c r="AN211" s="1">
        <v>807</v>
      </c>
      <c r="AO211" s="1">
        <v>12.72</v>
      </c>
      <c r="AP211" s="1">
        <v>-0.03</v>
      </c>
      <c r="AQ211">
        <v>73</v>
      </c>
      <c r="AR211" s="1">
        <v>462.25</v>
      </c>
      <c r="AS211">
        <v>232</v>
      </c>
      <c r="AT211" s="1">
        <v>1394.03</v>
      </c>
      <c r="AU211">
        <v>11</v>
      </c>
      <c r="AV211" s="1">
        <v>91.94</v>
      </c>
      <c r="AW211">
        <v>10</v>
      </c>
      <c r="AX211" s="1">
        <v>55.38</v>
      </c>
      <c r="AY211">
        <v>70</v>
      </c>
      <c r="AZ211" s="1">
        <v>300.32</v>
      </c>
      <c r="BE211">
        <v>5</v>
      </c>
      <c r="BF211" s="1">
        <v>26.88</v>
      </c>
      <c r="BG211">
        <v>4</v>
      </c>
      <c r="BH211" s="1">
        <v>23.31</v>
      </c>
      <c r="BK211">
        <v>4</v>
      </c>
      <c r="BL211" s="1">
        <v>23.35</v>
      </c>
      <c r="BM211">
        <v>1</v>
      </c>
      <c r="BN211" s="1">
        <v>18.149999999999999</v>
      </c>
      <c r="BO211" s="1">
        <v>17.12</v>
      </c>
      <c r="BP211">
        <v>4</v>
      </c>
      <c r="BQ211" s="1">
        <v>29.07</v>
      </c>
      <c r="BR211" s="1">
        <v>27.43</v>
      </c>
      <c r="BZ211">
        <v>1</v>
      </c>
      <c r="CG211">
        <v>210</v>
      </c>
      <c r="CH211">
        <v>210</v>
      </c>
    </row>
    <row r="212" spans="1:86" x14ac:dyDescent="0.35">
      <c r="A212">
        <v>353927</v>
      </c>
      <c r="B212" s="2">
        <v>44215</v>
      </c>
      <c r="C212" s="2">
        <v>44215</v>
      </c>
      <c r="D212">
        <v>131</v>
      </c>
      <c r="E212" s="1">
        <v>435.01</v>
      </c>
      <c r="F212" s="1">
        <v>1512.55</v>
      </c>
      <c r="G212" s="1">
        <v>566.33000000000004</v>
      </c>
      <c r="H212" s="1">
        <v>676.82</v>
      </c>
      <c r="I212" s="1">
        <v>106.21</v>
      </c>
      <c r="J212" s="1">
        <v>3042.2</v>
      </c>
      <c r="K212" s="1">
        <v>0</v>
      </c>
      <c r="L212">
        <v>553</v>
      </c>
      <c r="M212" s="1">
        <v>0</v>
      </c>
      <c r="N212" s="1">
        <v>3163.08</v>
      </c>
      <c r="O212">
        <v>1</v>
      </c>
      <c r="P212" s="1">
        <v>5.18</v>
      </c>
      <c r="Q212">
        <v>3</v>
      </c>
      <c r="R212" s="1">
        <v>2.33</v>
      </c>
      <c r="S212">
        <v>55</v>
      </c>
      <c r="T212" s="1">
        <v>78.03</v>
      </c>
      <c r="U212" s="1">
        <v>35.340000000000003</v>
      </c>
      <c r="V212">
        <v>0</v>
      </c>
      <c r="W212" s="1">
        <v>0</v>
      </c>
      <c r="X212">
        <v>8</v>
      </c>
      <c r="Y212" s="1">
        <v>0</v>
      </c>
      <c r="Z212">
        <v>75</v>
      </c>
      <c r="AA212" s="1">
        <v>218.48</v>
      </c>
      <c r="AB212">
        <v>3</v>
      </c>
      <c r="AC212" s="1">
        <v>9.48</v>
      </c>
      <c r="AD212">
        <v>2</v>
      </c>
      <c r="AE212" s="1">
        <v>9.06</v>
      </c>
      <c r="AF212" s="1">
        <v>0</v>
      </c>
      <c r="AG212" s="1">
        <v>0</v>
      </c>
      <c r="AH212" s="1">
        <v>0</v>
      </c>
      <c r="AI212" s="1">
        <v>0</v>
      </c>
      <c r="AJ212" s="1">
        <v>182.38</v>
      </c>
      <c r="AL212" s="1">
        <v>3042.2</v>
      </c>
      <c r="AM212" s="1">
        <v>0</v>
      </c>
      <c r="AN212" s="1">
        <v>634</v>
      </c>
      <c r="AO212" s="1">
        <v>0</v>
      </c>
      <c r="AP212" s="1">
        <v>4.2300000000000004</v>
      </c>
      <c r="AQ212">
        <v>73</v>
      </c>
      <c r="AR212" s="1">
        <v>402.68</v>
      </c>
      <c r="AS212">
        <v>231</v>
      </c>
      <c r="AT212" s="1">
        <v>1429.54</v>
      </c>
      <c r="AU212">
        <v>11</v>
      </c>
      <c r="AV212" s="1">
        <v>71.790000000000006</v>
      </c>
      <c r="AW212">
        <v>1</v>
      </c>
      <c r="AX212" s="1">
        <v>5.38</v>
      </c>
      <c r="AY212">
        <v>53</v>
      </c>
      <c r="AZ212" s="1">
        <v>297.64</v>
      </c>
      <c r="BE212">
        <v>11</v>
      </c>
      <c r="BF212" s="1">
        <v>47.43</v>
      </c>
      <c r="BG212">
        <v>1</v>
      </c>
      <c r="BH212" s="1">
        <v>12.44</v>
      </c>
      <c r="BK212">
        <v>7</v>
      </c>
      <c r="BL212" s="1">
        <v>48</v>
      </c>
      <c r="BM212">
        <v>3</v>
      </c>
      <c r="BN212" s="1">
        <v>27.81</v>
      </c>
      <c r="BO212" s="1">
        <v>26.24</v>
      </c>
      <c r="BP212">
        <v>10</v>
      </c>
      <c r="BQ212" s="1">
        <v>112.06</v>
      </c>
      <c r="BR212" s="1">
        <v>105.71</v>
      </c>
      <c r="BZ212">
        <v>1</v>
      </c>
      <c r="CA212">
        <v>10</v>
      </c>
      <c r="CB212" s="1">
        <v>140.04</v>
      </c>
      <c r="CG212">
        <v>211</v>
      </c>
      <c r="CH212">
        <v>211</v>
      </c>
    </row>
    <row r="213" spans="1:86" x14ac:dyDescent="0.35">
      <c r="A213">
        <v>354030</v>
      </c>
      <c r="B213" s="2">
        <v>44215</v>
      </c>
      <c r="C213" s="2">
        <v>44215</v>
      </c>
      <c r="D213">
        <v>120</v>
      </c>
      <c r="E213" s="1">
        <v>403.47</v>
      </c>
      <c r="F213" s="1">
        <v>1268.1099999999999</v>
      </c>
      <c r="G213" s="1">
        <v>513.91999999999996</v>
      </c>
      <c r="H213" s="1">
        <v>514.36</v>
      </c>
      <c r="I213" s="1">
        <v>114.18</v>
      </c>
      <c r="J213" s="1">
        <v>2555.5100000000002</v>
      </c>
      <c r="K213" s="1">
        <v>103.06</v>
      </c>
      <c r="L213">
        <v>461</v>
      </c>
      <c r="M213" s="1">
        <v>103.06</v>
      </c>
      <c r="N213" s="1">
        <v>2709.76</v>
      </c>
      <c r="O213">
        <v>0</v>
      </c>
      <c r="P213" s="1">
        <v>0</v>
      </c>
      <c r="Q213">
        <v>7</v>
      </c>
      <c r="R213" s="1">
        <v>5.3</v>
      </c>
      <c r="S213">
        <v>43</v>
      </c>
      <c r="T213" s="1">
        <v>101.55</v>
      </c>
      <c r="U213" s="1">
        <v>47.4</v>
      </c>
      <c r="V213">
        <v>1</v>
      </c>
      <c r="W213" s="1">
        <v>10</v>
      </c>
      <c r="X213">
        <v>17</v>
      </c>
      <c r="Y213" s="1">
        <v>0</v>
      </c>
      <c r="Z213">
        <v>54</v>
      </c>
      <c r="AA213" s="1">
        <v>156.24</v>
      </c>
      <c r="AB213">
        <v>11</v>
      </c>
      <c r="AC213" s="1">
        <v>16.68</v>
      </c>
      <c r="AD213">
        <v>4</v>
      </c>
      <c r="AE213" s="1">
        <v>9.94</v>
      </c>
      <c r="AF213" s="1">
        <v>0</v>
      </c>
      <c r="AG213" s="1">
        <v>0</v>
      </c>
      <c r="AH213" s="1">
        <v>0</v>
      </c>
      <c r="AI213" s="1">
        <v>0</v>
      </c>
      <c r="AJ213" s="1">
        <v>159.5</v>
      </c>
      <c r="AL213" s="1">
        <v>2658.57</v>
      </c>
      <c r="AM213" s="1">
        <v>0</v>
      </c>
      <c r="AN213" s="1">
        <v>354</v>
      </c>
      <c r="AO213" s="1">
        <v>69.040000000000006</v>
      </c>
      <c r="AP213" s="1">
        <v>-2.84</v>
      </c>
      <c r="AQ213">
        <v>58</v>
      </c>
      <c r="AR213" s="1">
        <v>371.87</v>
      </c>
      <c r="AS213">
        <v>191</v>
      </c>
      <c r="AT213" s="1">
        <v>1254.6600000000001</v>
      </c>
      <c r="AU213">
        <v>18</v>
      </c>
      <c r="AV213" s="1">
        <v>132.80000000000001</v>
      </c>
      <c r="AW213">
        <v>4</v>
      </c>
      <c r="AX213" s="1">
        <v>27.79</v>
      </c>
      <c r="AY213">
        <v>66</v>
      </c>
      <c r="AZ213" s="1">
        <v>390.08</v>
      </c>
      <c r="BC213">
        <v>1</v>
      </c>
      <c r="BD213" s="1">
        <v>4.0199999999999996</v>
      </c>
      <c r="BE213">
        <v>18</v>
      </c>
      <c r="BF213" s="1">
        <v>108.08</v>
      </c>
      <c r="BG213">
        <v>1</v>
      </c>
      <c r="BH213" s="1">
        <v>3.78</v>
      </c>
      <c r="BK213">
        <v>6</v>
      </c>
      <c r="BL213" s="1">
        <v>50.23</v>
      </c>
      <c r="BM213">
        <v>1</v>
      </c>
      <c r="BN213" s="1">
        <v>4.76</v>
      </c>
      <c r="BO213" s="1">
        <v>4.49</v>
      </c>
      <c r="BZ213">
        <v>1</v>
      </c>
      <c r="CA213">
        <v>4</v>
      </c>
      <c r="CB213" s="1">
        <v>54.12</v>
      </c>
      <c r="CG213">
        <v>212</v>
      </c>
      <c r="CH213">
        <v>212</v>
      </c>
    </row>
    <row r="214" spans="1:86" x14ac:dyDescent="0.35">
      <c r="A214">
        <v>355439</v>
      </c>
      <c r="B214" s="2">
        <v>44215</v>
      </c>
      <c r="C214" s="2">
        <v>44215</v>
      </c>
      <c r="D214">
        <v>152</v>
      </c>
      <c r="E214" s="1">
        <v>505.23</v>
      </c>
      <c r="F214" s="1">
        <v>1703</v>
      </c>
      <c r="G214" s="1">
        <v>621.38</v>
      </c>
      <c r="H214" s="1">
        <v>691.38</v>
      </c>
      <c r="I214" s="1">
        <v>130.22999999999999</v>
      </c>
      <c r="J214" s="1">
        <v>3372.54</v>
      </c>
      <c r="K214" s="1">
        <v>0</v>
      </c>
      <c r="L214">
        <v>663</v>
      </c>
      <c r="M214" s="1">
        <v>0</v>
      </c>
      <c r="N214" s="1">
        <v>3497.44</v>
      </c>
      <c r="O214">
        <v>3</v>
      </c>
      <c r="P214" s="1">
        <v>29.2</v>
      </c>
      <c r="Q214">
        <v>6</v>
      </c>
      <c r="R214" s="1">
        <v>2.72</v>
      </c>
      <c r="S214">
        <v>35</v>
      </c>
      <c r="T214" s="1">
        <v>61.42</v>
      </c>
      <c r="U214" s="1">
        <v>31.56</v>
      </c>
      <c r="V214">
        <v>2</v>
      </c>
      <c r="W214" s="1">
        <v>25</v>
      </c>
      <c r="X214">
        <v>13</v>
      </c>
      <c r="Y214" s="1">
        <v>0</v>
      </c>
      <c r="Z214">
        <v>102</v>
      </c>
      <c r="AA214" s="1">
        <v>310.54000000000002</v>
      </c>
      <c r="AB214">
        <v>7</v>
      </c>
      <c r="AC214" s="1">
        <v>16.46</v>
      </c>
      <c r="AD214">
        <v>3</v>
      </c>
      <c r="AE214" s="1">
        <v>10.76</v>
      </c>
      <c r="AF214" s="1">
        <v>0</v>
      </c>
      <c r="AG214" s="1">
        <v>0</v>
      </c>
      <c r="AH214" s="1">
        <v>0</v>
      </c>
      <c r="AI214" s="1">
        <v>0</v>
      </c>
      <c r="AJ214" s="1">
        <v>270.13</v>
      </c>
      <c r="AL214" s="1">
        <v>3372.54</v>
      </c>
      <c r="AM214" s="1">
        <v>0</v>
      </c>
      <c r="AN214" s="1">
        <v>643</v>
      </c>
      <c r="AO214" s="1">
        <v>0</v>
      </c>
      <c r="AP214" s="1">
        <v>3.19</v>
      </c>
      <c r="AQ214">
        <v>93</v>
      </c>
      <c r="AR214" s="1">
        <v>606.25</v>
      </c>
      <c r="AS214">
        <v>264</v>
      </c>
      <c r="AT214" s="1">
        <v>1600.78</v>
      </c>
      <c r="AU214">
        <v>23</v>
      </c>
      <c r="AV214" s="1">
        <v>171.69</v>
      </c>
      <c r="AW214">
        <v>7</v>
      </c>
      <c r="AX214" s="1">
        <v>36.11</v>
      </c>
      <c r="AY214">
        <v>64</v>
      </c>
      <c r="AZ214" s="1">
        <v>296.45999999999998</v>
      </c>
      <c r="BA214">
        <v>2</v>
      </c>
      <c r="BB214" s="1">
        <v>10.43</v>
      </c>
      <c r="BC214">
        <v>3</v>
      </c>
      <c r="BD214" s="1">
        <v>17.95</v>
      </c>
      <c r="BE214">
        <v>12</v>
      </c>
      <c r="BF214" s="1">
        <v>73.16</v>
      </c>
      <c r="BG214">
        <v>3</v>
      </c>
      <c r="BH214" s="1">
        <v>13.52</v>
      </c>
      <c r="BK214">
        <v>13</v>
      </c>
      <c r="BL214" s="1">
        <v>83.51</v>
      </c>
      <c r="BM214">
        <v>2</v>
      </c>
      <c r="BN214" s="1">
        <v>24.84</v>
      </c>
      <c r="BO214" s="1">
        <v>23</v>
      </c>
      <c r="BP214">
        <v>5</v>
      </c>
      <c r="BQ214" s="1">
        <v>73.48</v>
      </c>
      <c r="BR214" s="1">
        <v>68.040000000000006</v>
      </c>
      <c r="BZ214">
        <v>1</v>
      </c>
      <c r="CA214">
        <v>2</v>
      </c>
      <c r="CB214" s="1">
        <v>19.68</v>
      </c>
      <c r="CG214">
        <v>213</v>
      </c>
      <c r="CH214">
        <v>213</v>
      </c>
    </row>
    <row r="215" spans="1:86" x14ac:dyDescent="0.35">
      <c r="A215">
        <v>358682</v>
      </c>
      <c r="B215" s="2">
        <v>44215</v>
      </c>
      <c r="C215" s="2">
        <v>44215</v>
      </c>
      <c r="D215">
        <v>70</v>
      </c>
      <c r="E215">
        <v>259.2</v>
      </c>
      <c r="F215">
        <v>946.40000000000009</v>
      </c>
      <c r="G215">
        <v>201.31</v>
      </c>
      <c r="H215">
        <v>536.76</v>
      </c>
      <c r="I215">
        <v>55.78</v>
      </c>
      <c r="J215">
        <v>1789.2</v>
      </c>
      <c r="K215">
        <v>66.719999999999985</v>
      </c>
      <c r="L215">
        <v>335</v>
      </c>
      <c r="M215">
        <v>80.449999999999989</v>
      </c>
      <c r="N215">
        <v>1884.05</v>
      </c>
      <c r="O215">
        <v>2</v>
      </c>
      <c r="P215">
        <v>4.9800000000000004</v>
      </c>
      <c r="R215">
        <v>108.58</v>
      </c>
      <c r="V215">
        <v>1</v>
      </c>
      <c r="W215">
        <v>40</v>
      </c>
      <c r="X215">
        <v>0</v>
      </c>
      <c r="Y215">
        <v>0</v>
      </c>
      <c r="Z215">
        <v>44</v>
      </c>
      <c r="AA215">
        <v>109.11</v>
      </c>
      <c r="AB215">
        <v>12</v>
      </c>
      <c r="AC215">
        <v>166.27</v>
      </c>
      <c r="AD215">
        <v>8</v>
      </c>
      <c r="AE215">
        <v>15.26</v>
      </c>
      <c r="AH215">
        <v>0</v>
      </c>
      <c r="AJ215">
        <v>164.59</v>
      </c>
      <c r="AN215">
        <v>520</v>
      </c>
      <c r="AO215">
        <v>0</v>
      </c>
      <c r="AP215">
        <v>149.27999999999997</v>
      </c>
      <c r="AQ215">
        <v>44</v>
      </c>
      <c r="AR215">
        <v>293.26</v>
      </c>
      <c r="AS215">
        <v>143</v>
      </c>
      <c r="AT215">
        <v>938.44</v>
      </c>
      <c r="AU215">
        <v>18</v>
      </c>
      <c r="AV215">
        <v>123.74</v>
      </c>
      <c r="AW215">
        <v>4</v>
      </c>
      <c r="AX215">
        <v>25.3</v>
      </c>
      <c r="AY215">
        <v>49</v>
      </c>
      <c r="AZ215">
        <v>235.57</v>
      </c>
      <c r="BP215">
        <v>7</v>
      </c>
      <c r="BQ215">
        <v>65.39</v>
      </c>
      <c r="BR215">
        <v>60.35</v>
      </c>
      <c r="BS215">
        <v>1858.31</v>
      </c>
      <c r="BV215">
        <v>0.71000000000003638</v>
      </c>
      <c r="BW215">
        <v>3.31</v>
      </c>
      <c r="BZ215">
        <v>1</v>
      </c>
      <c r="CA215">
        <v>1</v>
      </c>
      <c r="CB215">
        <v>10.69</v>
      </c>
      <c r="CG215">
        <v>214</v>
      </c>
      <c r="CH215">
        <v>214</v>
      </c>
    </row>
    <row r="216" spans="1:86" x14ac:dyDescent="0.35">
      <c r="A216">
        <v>359606</v>
      </c>
      <c r="B216" s="2">
        <v>44215</v>
      </c>
      <c r="C216" s="2">
        <v>44215</v>
      </c>
      <c r="D216">
        <v>55</v>
      </c>
      <c r="E216">
        <v>179.35</v>
      </c>
      <c r="F216">
        <v>628.03999999999985</v>
      </c>
      <c r="G216">
        <v>226.21</v>
      </c>
      <c r="H216">
        <v>375.95</v>
      </c>
      <c r="I216">
        <v>30.07</v>
      </c>
      <c r="J216">
        <v>1249.8200000000002</v>
      </c>
      <c r="K216">
        <v>47.710000000000008</v>
      </c>
      <c r="L216">
        <v>228</v>
      </c>
      <c r="M216">
        <v>51.690000000000005</v>
      </c>
      <c r="N216">
        <v>1320.3300000000002</v>
      </c>
      <c r="O216">
        <v>1</v>
      </c>
      <c r="P216">
        <v>3.09</v>
      </c>
      <c r="R216">
        <v>74.489999999999995</v>
      </c>
      <c r="V216">
        <v>0</v>
      </c>
      <c r="W216">
        <v>0</v>
      </c>
      <c r="X216">
        <v>0</v>
      </c>
      <c r="Y216">
        <v>0</v>
      </c>
      <c r="Z216">
        <v>22</v>
      </c>
      <c r="AA216">
        <v>54.96</v>
      </c>
      <c r="AB216">
        <v>1</v>
      </c>
      <c r="AC216">
        <v>5.21</v>
      </c>
      <c r="AD216">
        <v>0</v>
      </c>
      <c r="AE216">
        <v>0</v>
      </c>
      <c r="AH216">
        <v>0</v>
      </c>
      <c r="AJ216">
        <v>115.39</v>
      </c>
      <c r="AN216">
        <v>292</v>
      </c>
      <c r="AO216">
        <v>0</v>
      </c>
      <c r="AP216">
        <v>72.639999999999986</v>
      </c>
      <c r="AQ216">
        <v>25</v>
      </c>
      <c r="AR216">
        <v>231.77</v>
      </c>
      <c r="AS216">
        <v>106</v>
      </c>
      <c r="AT216">
        <v>617.67999999999995</v>
      </c>
      <c r="AU216">
        <v>12</v>
      </c>
      <c r="AV216">
        <v>50.15</v>
      </c>
      <c r="AW216">
        <v>7</v>
      </c>
      <c r="AX216">
        <v>80.959999999999994</v>
      </c>
      <c r="AY216">
        <v>25</v>
      </c>
      <c r="AZ216">
        <v>130.85</v>
      </c>
      <c r="BP216">
        <v>3</v>
      </c>
      <c r="BQ216">
        <v>47.28</v>
      </c>
      <c r="BR216">
        <v>43.42</v>
      </c>
      <c r="BS216">
        <v>1297.53</v>
      </c>
      <c r="BV216">
        <v>9.5199999999999818</v>
      </c>
      <c r="BW216">
        <v>9.52</v>
      </c>
      <c r="BZ216">
        <v>1</v>
      </c>
      <c r="CA216">
        <v>3</v>
      </c>
      <c r="CB216">
        <v>34.869999999999997</v>
      </c>
      <c r="CG216">
        <v>215</v>
      </c>
      <c r="CH216">
        <v>215</v>
      </c>
    </row>
    <row r="217" spans="1:86" x14ac:dyDescent="0.35">
      <c r="A217">
        <v>357150</v>
      </c>
      <c r="B217" s="2">
        <v>44215</v>
      </c>
      <c r="C217" s="2">
        <v>44215</v>
      </c>
      <c r="D217">
        <v>125</v>
      </c>
      <c r="E217">
        <v>431.45</v>
      </c>
      <c r="F217">
        <v>1393.59</v>
      </c>
      <c r="G217">
        <v>341.4</v>
      </c>
      <c r="H217">
        <v>357.57</v>
      </c>
      <c r="I217">
        <v>80.679999999999993</v>
      </c>
      <c r="J217">
        <v>2256.1699999999996</v>
      </c>
      <c r="K217">
        <v>198.35</v>
      </c>
      <c r="L217">
        <v>420</v>
      </c>
      <c r="M217">
        <v>204.23</v>
      </c>
      <c r="N217">
        <v>2340.0099999999998</v>
      </c>
      <c r="O217">
        <v>0</v>
      </c>
      <c r="P217">
        <v>0</v>
      </c>
      <c r="R217">
        <v>89.72</v>
      </c>
      <c r="V217">
        <v>0</v>
      </c>
      <c r="W217">
        <v>0</v>
      </c>
      <c r="X217">
        <v>0</v>
      </c>
      <c r="Y217">
        <v>0</v>
      </c>
      <c r="Z217">
        <v>44</v>
      </c>
      <c r="AA217">
        <v>96.11</v>
      </c>
      <c r="AB217">
        <v>1</v>
      </c>
      <c r="AC217">
        <v>9.48</v>
      </c>
      <c r="AD217">
        <v>25</v>
      </c>
      <c r="AE217">
        <v>52.14</v>
      </c>
      <c r="AH217">
        <v>0</v>
      </c>
      <c r="AJ217">
        <v>196.56</v>
      </c>
      <c r="AN217">
        <v>0</v>
      </c>
      <c r="AO217">
        <v>0</v>
      </c>
      <c r="AP217">
        <v>-897.16</v>
      </c>
      <c r="AQ217">
        <v>60</v>
      </c>
      <c r="AR217">
        <v>434.12</v>
      </c>
      <c r="AS217">
        <v>150</v>
      </c>
      <c r="AT217">
        <v>967.47</v>
      </c>
      <c r="AU217">
        <v>11</v>
      </c>
      <c r="AV217">
        <v>62.33</v>
      </c>
      <c r="AW217">
        <v>1</v>
      </c>
      <c r="AX217">
        <v>4.08</v>
      </c>
      <c r="AY217">
        <v>54</v>
      </c>
      <c r="AZ217">
        <v>285.92</v>
      </c>
      <c r="BS217">
        <v>2454.52</v>
      </c>
      <c r="BV217">
        <v>0</v>
      </c>
      <c r="BW217">
        <v>0</v>
      </c>
      <c r="BZ217">
        <v>1</v>
      </c>
      <c r="CG217">
        <v>216</v>
      </c>
      <c r="CH217">
        <v>216</v>
      </c>
    </row>
    <row r="218" spans="1:86" x14ac:dyDescent="0.35">
      <c r="A218">
        <v>352613</v>
      </c>
      <c r="B218" s="2">
        <v>44215</v>
      </c>
      <c r="C218" s="2">
        <v>44215</v>
      </c>
      <c r="D218">
        <v>96</v>
      </c>
      <c r="E218">
        <v>314.74</v>
      </c>
      <c r="F218">
        <v>1490.5</v>
      </c>
      <c r="G218">
        <v>458.73</v>
      </c>
      <c r="H218">
        <v>607.38</v>
      </c>
      <c r="I218">
        <v>133.54</v>
      </c>
      <c r="J218">
        <v>2849.41</v>
      </c>
      <c r="K218">
        <v>215.51</v>
      </c>
      <c r="L218">
        <v>548</v>
      </c>
      <c r="M218">
        <v>219.12</v>
      </c>
      <c r="N218">
        <v>2950.92</v>
      </c>
      <c r="O218">
        <v>6</v>
      </c>
      <c r="P218">
        <v>9.77</v>
      </c>
      <c r="R218">
        <v>105.12</v>
      </c>
      <c r="V218">
        <v>2</v>
      </c>
      <c r="W218">
        <v>30</v>
      </c>
      <c r="X218">
        <v>0</v>
      </c>
      <c r="Y218">
        <v>0</v>
      </c>
      <c r="Z218">
        <v>81</v>
      </c>
      <c r="AA218">
        <v>230.82</v>
      </c>
      <c r="AB218">
        <v>11</v>
      </c>
      <c r="AC218">
        <v>102.2</v>
      </c>
      <c r="AD218">
        <v>38</v>
      </c>
      <c r="AE218">
        <v>62.23</v>
      </c>
      <c r="AH218">
        <v>0</v>
      </c>
      <c r="AJ218">
        <v>245.57</v>
      </c>
      <c r="AN218">
        <v>1754</v>
      </c>
      <c r="AO218">
        <v>0</v>
      </c>
      <c r="AP218">
        <v>919.45</v>
      </c>
      <c r="AQ218">
        <v>57</v>
      </c>
      <c r="AR218">
        <v>357.26</v>
      </c>
      <c r="AS218">
        <v>239</v>
      </c>
      <c r="AT218">
        <v>1626.01</v>
      </c>
      <c r="AU218">
        <v>9</v>
      </c>
      <c r="AV218">
        <v>77.2</v>
      </c>
      <c r="AW218">
        <v>6</v>
      </c>
      <c r="AX218">
        <v>29.7</v>
      </c>
      <c r="AY218">
        <v>55</v>
      </c>
      <c r="AZ218">
        <v>256.52999999999997</v>
      </c>
      <c r="BP218">
        <v>5</v>
      </c>
      <c r="BQ218">
        <v>55.97</v>
      </c>
      <c r="BR218">
        <v>28.92</v>
      </c>
      <c r="BS218">
        <v>3068.76</v>
      </c>
      <c r="BV218">
        <v>-13.240000000000236</v>
      </c>
      <c r="BW218">
        <v>-9.1</v>
      </c>
      <c r="BZ218">
        <v>1</v>
      </c>
      <c r="CA218">
        <v>7</v>
      </c>
      <c r="CB218">
        <v>82.41</v>
      </c>
      <c r="CG218">
        <v>217</v>
      </c>
      <c r="CH218">
        <v>217</v>
      </c>
    </row>
    <row r="219" spans="1:86" x14ac:dyDescent="0.35">
      <c r="A219">
        <v>355439</v>
      </c>
      <c r="B219" s="2">
        <v>44214</v>
      </c>
      <c r="C219" s="2">
        <v>44214</v>
      </c>
      <c r="D219">
        <v>156</v>
      </c>
      <c r="E219" s="1">
        <v>518.79</v>
      </c>
      <c r="F219" s="1">
        <v>1759.3</v>
      </c>
      <c r="G219" s="1">
        <v>795</v>
      </c>
      <c r="H219" s="1">
        <v>661.69</v>
      </c>
      <c r="I219" s="1">
        <v>102.65</v>
      </c>
      <c r="J219" s="1">
        <v>3509.67</v>
      </c>
      <c r="K219" s="1">
        <v>0</v>
      </c>
      <c r="L219">
        <v>615</v>
      </c>
      <c r="M219" s="1">
        <v>0</v>
      </c>
      <c r="N219" s="1">
        <v>3654.32</v>
      </c>
      <c r="O219">
        <v>0</v>
      </c>
      <c r="P219" s="1">
        <v>0</v>
      </c>
      <c r="Q219">
        <v>7</v>
      </c>
      <c r="R219" s="1">
        <v>7.84</v>
      </c>
      <c r="S219">
        <v>45</v>
      </c>
      <c r="T219" s="1">
        <v>94.91</v>
      </c>
      <c r="U219" s="1">
        <v>41.9</v>
      </c>
      <c r="V219">
        <v>0</v>
      </c>
      <c r="W219" s="1">
        <v>0</v>
      </c>
      <c r="X219">
        <v>10</v>
      </c>
      <c r="Y219" s="1">
        <v>0</v>
      </c>
      <c r="Z219">
        <v>91</v>
      </c>
      <c r="AA219" s="1">
        <v>245.29</v>
      </c>
      <c r="AB219">
        <v>14</v>
      </c>
      <c r="AC219" s="1">
        <v>31.58</v>
      </c>
      <c r="AD219">
        <v>2</v>
      </c>
      <c r="AE219" s="1">
        <v>11.63</v>
      </c>
      <c r="AF219" s="1">
        <v>0</v>
      </c>
      <c r="AG219" s="1">
        <v>0</v>
      </c>
      <c r="AH219" s="1">
        <v>0</v>
      </c>
      <c r="AI219" s="1">
        <v>0</v>
      </c>
      <c r="AJ219" s="1">
        <v>280.98</v>
      </c>
      <c r="AL219" s="1">
        <v>3509.67</v>
      </c>
      <c r="AM219" s="1">
        <v>0</v>
      </c>
      <c r="AN219" s="1">
        <v>717</v>
      </c>
      <c r="AO219" s="1">
        <v>0</v>
      </c>
      <c r="AP219" s="1">
        <v>-3.23</v>
      </c>
      <c r="AQ219">
        <v>83</v>
      </c>
      <c r="AR219" s="1">
        <v>641.07000000000005</v>
      </c>
      <c r="AS219">
        <v>252</v>
      </c>
      <c r="AT219" s="1">
        <v>1604.35</v>
      </c>
      <c r="AU219">
        <v>26</v>
      </c>
      <c r="AV219" s="1">
        <v>206.95</v>
      </c>
      <c r="AW219">
        <v>7</v>
      </c>
      <c r="AX219" s="1">
        <v>48</v>
      </c>
      <c r="AY219">
        <v>48</v>
      </c>
      <c r="AZ219" s="1">
        <v>213.98</v>
      </c>
      <c r="BC219">
        <v>2</v>
      </c>
      <c r="BD219" s="1">
        <v>14.22</v>
      </c>
      <c r="BE219">
        <v>13</v>
      </c>
      <c r="BF219" s="1">
        <v>76.59</v>
      </c>
      <c r="BG219">
        <v>3</v>
      </c>
      <c r="BH219" s="1">
        <v>27.07</v>
      </c>
      <c r="BK219">
        <v>17</v>
      </c>
      <c r="BL219" s="1">
        <v>117.05</v>
      </c>
      <c r="BM219">
        <v>2</v>
      </c>
      <c r="BN219" s="1">
        <v>43.53</v>
      </c>
      <c r="BO219" s="1">
        <v>40.31</v>
      </c>
      <c r="BP219">
        <v>1</v>
      </c>
      <c r="BQ219" s="1">
        <v>10.25</v>
      </c>
      <c r="BZ219">
        <v>1</v>
      </c>
      <c r="CA219">
        <v>7</v>
      </c>
      <c r="CB219" s="1">
        <v>67.36</v>
      </c>
      <c r="CG219">
        <v>218</v>
      </c>
      <c r="CH219">
        <v>218</v>
      </c>
    </row>
    <row r="220" spans="1:86" x14ac:dyDescent="0.35">
      <c r="A220">
        <v>357150</v>
      </c>
      <c r="B220" s="2">
        <v>44214</v>
      </c>
      <c r="C220" s="2">
        <v>44214</v>
      </c>
      <c r="D220">
        <v>142</v>
      </c>
      <c r="E220">
        <v>500.18000000000006</v>
      </c>
      <c r="F220">
        <v>1519.86</v>
      </c>
      <c r="G220">
        <v>449.05</v>
      </c>
      <c r="H220">
        <v>369.03</v>
      </c>
      <c r="I220">
        <v>107.56</v>
      </c>
      <c r="J220">
        <v>2572.17</v>
      </c>
      <c r="K220">
        <v>155.51</v>
      </c>
      <c r="L220">
        <v>437</v>
      </c>
      <c r="M220">
        <v>157.66</v>
      </c>
      <c r="N220">
        <v>2684.03</v>
      </c>
      <c r="O220">
        <v>0</v>
      </c>
      <c r="P220">
        <v>0</v>
      </c>
      <c r="R220">
        <v>114.01</v>
      </c>
      <c r="V220">
        <v>3</v>
      </c>
      <c r="W220">
        <v>25</v>
      </c>
      <c r="X220">
        <v>0</v>
      </c>
      <c r="Y220">
        <v>0</v>
      </c>
      <c r="Z220">
        <v>56</v>
      </c>
      <c r="AA220">
        <v>120.92</v>
      </c>
      <c r="AB220">
        <v>7</v>
      </c>
      <c r="AC220">
        <v>40.94</v>
      </c>
      <c r="AD220">
        <v>13</v>
      </c>
      <c r="AE220">
        <v>44.7</v>
      </c>
      <c r="AH220">
        <v>0</v>
      </c>
      <c r="AJ220">
        <v>218.37</v>
      </c>
      <c r="AN220">
        <v>1748</v>
      </c>
      <c r="AO220">
        <v>0</v>
      </c>
      <c r="AP220">
        <v>866.64</v>
      </c>
      <c r="AQ220">
        <v>69</v>
      </c>
      <c r="AR220">
        <v>545.33000000000004</v>
      </c>
      <c r="AS220">
        <v>155</v>
      </c>
      <c r="AT220">
        <v>1179.8499999999999</v>
      </c>
      <c r="AU220">
        <v>10</v>
      </c>
      <c r="AV220">
        <v>110.22</v>
      </c>
      <c r="AW220">
        <v>6</v>
      </c>
      <c r="AX220">
        <v>28.8</v>
      </c>
      <c r="AY220">
        <v>50</v>
      </c>
      <c r="AZ220">
        <v>225.49</v>
      </c>
      <c r="BS220">
        <v>2727.68</v>
      </c>
      <c r="BV220">
        <v>0</v>
      </c>
      <c r="BW220">
        <v>0</v>
      </c>
      <c r="BZ220">
        <v>1</v>
      </c>
      <c r="CG220">
        <v>219</v>
      </c>
      <c r="CH220">
        <v>219</v>
      </c>
    </row>
    <row r="221" spans="1:86" x14ac:dyDescent="0.35">
      <c r="A221">
        <v>358682</v>
      </c>
      <c r="B221" s="2">
        <v>44214</v>
      </c>
      <c r="C221" s="2">
        <v>44214</v>
      </c>
      <c r="D221">
        <v>62</v>
      </c>
      <c r="E221">
        <v>230.88</v>
      </c>
      <c r="F221">
        <v>940.76</v>
      </c>
      <c r="G221">
        <v>220.7</v>
      </c>
      <c r="H221">
        <v>610.1</v>
      </c>
      <c r="I221">
        <v>56.1</v>
      </c>
      <c r="J221">
        <v>1833.46</v>
      </c>
      <c r="K221">
        <v>73.22</v>
      </c>
      <c r="L221">
        <v>306</v>
      </c>
      <c r="M221">
        <v>79.06</v>
      </c>
      <c r="N221">
        <v>1983.6</v>
      </c>
      <c r="O221">
        <v>0</v>
      </c>
      <c r="P221">
        <v>0</v>
      </c>
      <c r="R221">
        <v>155.97999999999999</v>
      </c>
      <c r="V221">
        <v>0</v>
      </c>
      <c r="W221">
        <v>0</v>
      </c>
      <c r="X221">
        <v>0</v>
      </c>
      <c r="Y221">
        <v>0</v>
      </c>
      <c r="Z221">
        <v>42</v>
      </c>
      <c r="AA221">
        <v>110.93</v>
      </c>
      <c r="AB221">
        <v>5</v>
      </c>
      <c r="AC221">
        <v>67.790000000000006</v>
      </c>
      <c r="AD221">
        <v>22</v>
      </c>
      <c r="AE221">
        <v>25.86</v>
      </c>
      <c r="AH221">
        <v>0</v>
      </c>
      <c r="AJ221">
        <v>168.72</v>
      </c>
      <c r="AN221">
        <v>337.65</v>
      </c>
      <c r="AO221">
        <v>0</v>
      </c>
      <c r="AP221">
        <v>0.75</v>
      </c>
      <c r="AQ221">
        <v>37</v>
      </c>
      <c r="AR221">
        <v>253.7</v>
      </c>
      <c r="AS221">
        <v>122</v>
      </c>
      <c r="AT221">
        <v>889.54</v>
      </c>
      <c r="AU221">
        <v>23</v>
      </c>
      <c r="AV221">
        <v>170.89</v>
      </c>
      <c r="AW221">
        <v>4</v>
      </c>
      <c r="AX221">
        <v>19.12</v>
      </c>
      <c r="AY221">
        <v>44</v>
      </c>
      <c r="AZ221">
        <v>206.34</v>
      </c>
      <c r="BM221">
        <v>3</v>
      </c>
      <c r="BN221">
        <v>55.24</v>
      </c>
      <c r="BP221">
        <v>13</v>
      </c>
      <c r="BQ221">
        <v>139.36000000000001</v>
      </c>
      <c r="BR221">
        <v>116.72</v>
      </c>
      <c r="BS221">
        <v>1913.96</v>
      </c>
      <c r="BV221">
        <v>-18.460000000000036</v>
      </c>
      <c r="BW221">
        <v>-10.53</v>
      </c>
      <c r="BZ221">
        <v>1</v>
      </c>
      <c r="CA221">
        <v>1</v>
      </c>
      <c r="CB221">
        <v>12.24</v>
      </c>
      <c r="CG221">
        <v>220</v>
      </c>
      <c r="CH221">
        <v>220</v>
      </c>
    </row>
    <row r="222" spans="1:86" x14ac:dyDescent="0.35">
      <c r="A222">
        <v>359606</v>
      </c>
      <c r="B222" s="2">
        <v>44214</v>
      </c>
      <c r="C222" s="2">
        <v>44214</v>
      </c>
      <c r="D222">
        <v>40</v>
      </c>
      <c r="E222">
        <v>136.6</v>
      </c>
      <c r="F222">
        <v>498.28</v>
      </c>
      <c r="G222">
        <v>135.68</v>
      </c>
      <c r="H222">
        <v>328.41</v>
      </c>
      <c r="I222">
        <v>42.61</v>
      </c>
      <c r="J222">
        <v>1055.0800000000002</v>
      </c>
      <c r="K222">
        <v>72.300000000000011</v>
      </c>
      <c r="L222">
        <v>190</v>
      </c>
      <c r="M222">
        <v>83.240000000000009</v>
      </c>
      <c r="N222">
        <v>1104.69</v>
      </c>
      <c r="O222">
        <v>0</v>
      </c>
      <c r="P222">
        <v>0</v>
      </c>
      <c r="R222">
        <v>60.54999999999999</v>
      </c>
      <c r="V222">
        <v>2</v>
      </c>
      <c r="W222">
        <v>40</v>
      </c>
      <c r="X222">
        <v>0</v>
      </c>
      <c r="Y222">
        <v>0</v>
      </c>
      <c r="Z222">
        <v>13</v>
      </c>
      <c r="AA222">
        <v>25</v>
      </c>
      <c r="AB222">
        <v>1</v>
      </c>
      <c r="AC222">
        <v>16.96</v>
      </c>
      <c r="AD222">
        <v>0</v>
      </c>
      <c r="AE222">
        <v>0</v>
      </c>
      <c r="AH222">
        <v>0</v>
      </c>
      <c r="AJ222">
        <v>100.3</v>
      </c>
      <c r="AN222">
        <v>448</v>
      </c>
      <c r="AO222">
        <v>0</v>
      </c>
      <c r="AP222">
        <v>291.10000000000002</v>
      </c>
      <c r="AQ222">
        <v>22</v>
      </c>
      <c r="AR222">
        <v>162.47999999999999</v>
      </c>
      <c r="AS222">
        <v>91</v>
      </c>
      <c r="AT222">
        <v>577.97</v>
      </c>
      <c r="AU222">
        <v>15</v>
      </c>
      <c r="AV222">
        <v>104.27</v>
      </c>
      <c r="AW222">
        <v>5</v>
      </c>
      <c r="AX222">
        <v>34.369999999999997</v>
      </c>
      <c r="AY222">
        <v>23</v>
      </c>
      <c r="AZ222">
        <v>140.9</v>
      </c>
      <c r="BS222">
        <v>1127.3800000000001</v>
      </c>
      <c r="BV222">
        <v>9.5199999999999818</v>
      </c>
      <c r="BW222">
        <v>9.52</v>
      </c>
      <c r="BZ222">
        <v>1</v>
      </c>
      <c r="CA222">
        <v>6</v>
      </c>
      <c r="CB222">
        <v>90.79</v>
      </c>
      <c r="CG222">
        <v>221</v>
      </c>
      <c r="CH222">
        <v>221</v>
      </c>
    </row>
    <row r="223" spans="1:86" x14ac:dyDescent="0.35">
      <c r="A223">
        <v>352613</v>
      </c>
      <c r="B223" s="2">
        <v>44216</v>
      </c>
      <c r="C223" s="2">
        <v>44216</v>
      </c>
      <c r="D223">
        <v>101</v>
      </c>
      <c r="E223">
        <v>335.59000000000003</v>
      </c>
      <c r="F223">
        <v>1622.1100000000001</v>
      </c>
      <c r="G223">
        <v>475.83</v>
      </c>
      <c r="H223">
        <v>539.47</v>
      </c>
      <c r="I223">
        <v>177.94</v>
      </c>
      <c r="J223">
        <v>2851.8399999999992</v>
      </c>
      <c r="K223">
        <v>141.92999999999998</v>
      </c>
      <c r="L223">
        <v>576</v>
      </c>
      <c r="M223">
        <v>146.11999999999998</v>
      </c>
      <c r="N223">
        <v>2978.3799999999992</v>
      </c>
      <c r="O223">
        <v>0</v>
      </c>
      <c r="P223">
        <v>0</v>
      </c>
      <c r="R223">
        <v>130.73000000000002</v>
      </c>
      <c r="V223">
        <v>1</v>
      </c>
      <c r="W223">
        <v>20</v>
      </c>
      <c r="X223">
        <v>0</v>
      </c>
      <c r="Y223">
        <v>0</v>
      </c>
      <c r="Z223">
        <v>77</v>
      </c>
      <c r="AA223">
        <v>145.83000000000001</v>
      </c>
      <c r="AB223">
        <v>9</v>
      </c>
      <c r="AC223">
        <v>152.97999999999999</v>
      </c>
      <c r="AD223">
        <v>37</v>
      </c>
      <c r="AE223">
        <v>66.849999999999994</v>
      </c>
      <c r="AH223">
        <v>0</v>
      </c>
      <c r="AJ223">
        <v>239.69</v>
      </c>
      <c r="AN223">
        <v>898</v>
      </c>
      <c r="AO223">
        <v>31.79</v>
      </c>
      <c r="AP223">
        <v>-10.509999999999991</v>
      </c>
      <c r="AQ223">
        <v>73</v>
      </c>
      <c r="AR223">
        <v>450.42</v>
      </c>
      <c r="AS223">
        <v>230</v>
      </c>
      <c r="AT223">
        <v>1404.49</v>
      </c>
      <c r="AU223">
        <v>14</v>
      </c>
      <c r="AV223">
        <v>92.13</v>
      </c>
      <c r="AW223">
        <v>6</v>
      </c>
      <c r="AX223">
        <v>35.83</v>
      </c>
      <c r="AY223">
        <v>55</v>
      </c>
      <c r="AZ223">
        <v>249.82</v>
      </c>
      <c r="BP223">
        <v>7</v>
      </c>
      <c r="BQ223">
        <v>74.33</v>
      </c>
      <c r="BR223">
        <v>51.98</v>
      </c>
      <c r="BS223">
        <v>2998.36</v>
      </c>
      <c r="BV223">
        <v>-2.6199999999998909</v>
      </c>
      <c r="BW223">
        <v>2.34</v>
      </c>
      <c r="BZ223">
        <v>1</v>
      </c>
      <c r="CA223">
        <v>1</v>
      </c>
      <c r="CB223">
        <v>11.1</v>
      </c>
      <c r="CG223">
        <v>222</v>
      </c>
      <c r="CH223">
        <v>222</v>
      </c>
    </row>
    <row r="224" spans="1:86" x14ac:dyDescent="0.35">
      <c r="A224">
        <v>358682</v>
      </c>
      <c r="B224" s="2">
        <v>44216</v>
      </c>
      <c r="C224" s="2">
        <v>44216</v>
      </c>
      <c r="D224">
        <v>62</v>
      </c>
      <c r="E224">
        <v>220.28</v>
      </c>
      <c r="F224">
        <v>1008.6800000000001</v>
      </c>
      <c r="G224">
        <v>198.13</v>
      </c>
      <c r="H224">
        <v>654.92999999999995</v>
      </c>
      <c r="I224">
        <v>53.18</v>
      </c>
      <c r="J224">
        <v>1874.93</v>
      </c>
      <c r="K224">
        <v>52.29</v>
      </c>
      <c r="L224">
        <v>337</v>
      </c>
      <c r="M224">
        <v>53.29</v>
      </c>
      <c r="N224">
        <v>2009.94</v>
      </c>
      <c r="O224">
        <v>6</v>
      </c>
      <c r="P224">
        <v>8.18</v>
      </c>
      <c r="R224">
        <v>136.01</v>
      </c>
      <c r="V224">
        <v>0</v>
      </c>
      <c r="W224">
        <v>0</v>
      </c>
      <c r="X224">
        <v>0</v>
      </c>
      <c r="Y224">
        <v>0</v>
      </c>
      <c r="Z224">
        <v>52</v>
      </c>
      <c r="AA224">
        <v>1053.3</v>
      </c>
      <c r="AB224">
        <v>12</v>
      </c>
      <c r="AC224">
        <v>69.09</v>
      </c>
      <c r="AD224">
        <v>17</v>
      </c>
      <c r="AE224">
        <v>12.84</v>
      </c>
      <c r="AH224">
        <v>0</v>
      </c>
      <c r="AJ224">
        <v>171.52</v>
      </c>
      <c r="AN224">
        <v>157</v>
      </c>
      <c r="AO224">
        <v>0</v>
      </c>
      <c r="AP224">
        <v>-124.32</v>
      </c>
      <c r="AQ224">
        <v>41</v>
      </c>
      <c r="AR224">
        <v>241.24</v>
      </c>
      <c r="AS224">
        <v>154</v>
      </c>
      <c r="AT224">
        <v>966.93</v>
      </c>
      <c r="AU224">
        <v>23</v>
      </c>
      <c r="AV224">
        <v>208.25</v>
      </c>
      <c r="AW224">
        <v>13</v>
      </c>
      <c r="AX224">
        <v>70.22</v>
      </c>
      <c r="AY224">
        <v>39</v>
      </c>
      <c r="AZ224">
        <v>174.2</v>
      </c>
      <c r="BP224">
        <v>10</v>
      </c>
      <c r="BQ224">
        <v>106.56</v>
      </c>
      <c r="BR224">
        <v>97.84</v>
      </c>
      <c r="BS224">
        <v>1922.73</v>
      </c>
      <c r="BV224">
        <v>9.3399999999996908</v>
      </c>
      <c r="BW224">
        <v>4.45</v>
      </c>
      <c r="BZ224">
        <v>1</v>
      </c>
      <c r="CA224">
        <v>3</v>
      </c>
      <c r="CB224">
        <v>45.13</v>
      </c>
      <c r="CG224">
        <v>223</v>
      </c>
      <c r="CH224">
        <v>223</v>
      </c>
    </row>
    <row r="225" spans="1:86" x14ac:dyDescent="0.35">
      <c r="A225">
        <v>359606</v>
      </c>
      <c r="B225" s="2">
        <v>44216</v>
      </c>
      <c r="C225" s="2">
        <v>44216</v>
      </c>
      <c r="D225">
        <v>34</v>
      </c>
      <c r="E225">
        <v>123.06</v>
      </c>
      <c r="F225">
        <v>473.12</v>
      </c>
      <c r="G225">
        <v>168.26</v>
      </c>
      <c r="H225">
        <v>343.36</v>
      </c>
      <c r="I225">
        <v>33.26</v>
      </c>
      <c r="J225">
        <v>1074.9499999999998</v>
      </c>
      <c r="K225">
        <v>23.549999999999997</v>
      </c>
      <c r="L225">
        <v>196</v>
      </c>
      <c r="M225">
        <v>23.549999999999997</v>
      </c>
      <c r="N225">
        <v>1127.3699999999999</v>
      </c>
      <c r="O225">
        <v>0</v>
      </c>
      <c r="P225">
        <v>0</v>
      </c>
      <c r="R225">
        <v>52.42</v>
      </c>
      <c r="V225">
        <v>0</v>
      </c>
      <c r="W225">
        <v>0</v>
      </c>
      <c r="X225">
        <v>0</v>
      </c>
      <c r="Y225">
        <v>0</v>
      </c>
      <c r="Z225">
        <v>14</v>
      </c>
      <c r="AA225">
        <v>33.1</v>
      </c>
      <c r="AB225">
        <v>2</v>
      </c>
      <c r="AC225">
        <v>8.4700000000000006</v>
      </c>
      <c r="AD225">
        <v>0</v>
      </c>
      <c r="AE225">
        <v>0</v>
      </c>
      <c r="AH225">
        <v>0</v>
      </c>
      <c r="AJ225">
        <v>97.7</v>
      </c>
      <c r="AN225">
        <v>74</v>
      </c>
      <c r="AO225">
        <v>4</v>
      </c>
      <c r="AP225">
        <v>-33.620000000000005</v>
      </c>
      <c r="AQ225">
        <v>20</v>
      </c>
      <c r="AR225">
        <v>132.33000000000001</v>
      </c>
      <c r="AS225">
        <v>103</v>
      </c>
      <c r="AT225">
        <v>635.39</v>
      </c>
      <c r="AU225">
        <v>16</v>
      </c>
      <c r="AV225">
        <v>115.3</v>
      </c>
      <c r="AW225">
        <v>7</v>
      </c>
      <c r="AX225">
        <v>40.76</v>
      </c>
      <c r="AY225">
        <v>22</v>
      </c>
      <c r="AZ225">
        <v>117.74</v>
      </c>
      <c r="BP225">
        <v>1</v>
      </c>
      <c r="BQ225">
        <v>17.25</v>
      </c>
      <c r="BR225">
        <v>15.84</v>
      </c>
      <c r="BS225">
        <v>1098.5</v>
      </c>
      <c r="BV225">
        <v>9.5199999999999818</v>
      </c>
      <c r="BW225">
        <v>9.52</v>
      </c>
      <c r="BZ225">
        <v>1</v>
      </c>
      <c r="CA225">
        <v>2</v>
      </c>
      <c r="CB225">
        <v>25.81</v>
      </c>
      <c r="CG225">
        <v>224</v>
      </c>
      <c r="CH225">
        <v>224</v>
      </c>
    </row>
    <row r="226" spans="1:86" x14ac:dyDescent="0.35">
      <c r="A226">
        <v>357150</v>
      </c>
      <c r="B226" s="2">
        <v>44216</v>
      </c>
      <c r="C226" s="2">
        <v>44216</v>
      </c>
      <c r="D226">
        <v>121</v>
      </c>
      <c r="E226">
        <v>426.09000000000003</v>
      </c>
      <c r="F226">
        <v>1349.8000000000002</v>
      </c>
      <c r="G226">
        <v>329.42</v>
      </c>
      <c r="H226">
        <v>417.39</v>
      </c>
      <c r="I226">
        <v>86.67</v>
      </c>
      <c r="J226">
        <v>2209.5699999999993</v>
      </c>
      <c r="K226">
        <v>150.09</v>
      </c>
      <c r="L226">
        <v>445</v>
      </c>
      <c r="M226">
        <v>161.91</v>
      </c>
      <c r="N226">
        <v>2317.4899999999993</v>
      </c>
      <c r="O226">
        <v>7</v>
      </c>
      <c r="P226">
        <v>11.86</v>
      </c>
      <c r="R226">
        <v>119.73999999999998</v>
      </c>
      <c r="V226">
        <v>2</v>
      </c>
      <c r="W226">
        <v>70</v>
      </c>
      <c r="X226">
        <v>0</v>
      </c>
      <c r="Y226">
        <v>0</v>
      </c>
      <c r="Z226">
        <v>48</v>
      </c>
      <c r="AA226">
        <v>110.51</v>
      </c>
      <c r="AB226">
        <v>1</v>
      </c>
      <c r="AC226">
        <v>8.4700000000000006</v>
      </c>
      <c r="AD226">
        <v>21</v>
      </c>
      <c r="AE226">
        <v>26.27</v>
      </c>
      <c r="AH226">
        <v>0</v>
      </c>
      <c r="AJ226">
        <v>188.86</v>
      </c>
      <c r="AN226">
        <v>759</v>
      </c>
      <c r="AO226">
        <v>0</v>
      </c>
      <c r="AP226">
        <v>24.080000000000041</v>
      </c>
      <c r="AQ226">
        <v>56</v>
      </c>
      <c r="AR226">
        <v>335.53</v>
      </c>
      <c r="AS226">
        <v>173</v>
      </c>
      <c r="AT226">
        <v>1183.5999999999999</v>
      </c>
      <c r="AU226">
        <v>10</v>
      </c>
      <c r="AV226">
        <v>44.33</v>
      </c>
      <c r="AW226">
        <v>3</v>
      </c>
      <c r="AX226">
        <v>13.1</v>
      </c>
      <c r="AY226">
        <v>59</v>
      </c>
      <c r="AZ226">
        <v>307.04000000000002</v>
      </c>
      <c r="BS226">
        <v>2359.66</v>
      </c>
      <c r="BV226">
        <v>0</v>
      </c>
      <c r="BW226">
        <v>0</v>
      </c>
      <c r="BZ226">
        <v>1</v>
      </c>
      <c r="CG226">
        <v>225</v>
      </c>
      <c r="CH226">
        <v>225</v>
      </c>
    </row>
    <row r="227" spans="1:86" x14ac:dyDescent="0.35">
      <c r="A227">
        <v>350432</v>
      </c>
      <c r="B227" s="2">
        <v>44216</v>
      </c>
      <c r="C227" s="2">
        <v>44216</v>
      </c>
      <c r="D227">
        <v>135</v>
      </c>
      <c r="E227" s="1">
        <v>402.99</v>
      </c>
      <c r="F227" s="1">
        <v>1688.83</v>
      </c>
      <c r="G227" s="1">
        <v>387.8</v>
      </c>
      <c r="H227" s="1">
        <v>746.92</v>
      </c>
      <c r="I227" s="1">
        <v>111.71</v>
      </c>
      <c r="J227" s="1">
        <v>3131.3</v>
      </c>
      <c r="K227" s="1">
        <v>341.47</v>
      </c>
      <c r="L227">
        <v>680</v>
      </c>
      <c r="M227" s="1">
        <v>346.88</v>
      </c>
      <c r="N227" s="1">
        <v>3278.41</v>
      </c>
      <c r="O227">
        <v>3</v>
      </c>
      <c r="P227" s="1">
        <v>9.7799999999999994</v>
      </c>
      <c r="Q227">
        <v>18</v>
      </c>
      <c r="R227" s="1">
        <v>3.85</v>
      </c>
      <c r="S227">
        <v>59</v>
      </c>
      <c r="T227" s="1">
        <v>102.49</v>
      </c>
      <c r="U227" s="1">
        <v>36.4</v>
      </c>
      <c r="V227">
        <v>1</v>
      </c>
      <c r="W227" s="1">
        <v>25</v>
      </c>
      <c r="X227">
        <v>8</v>
      </c>
      <c r="Y227" s="1">
        <v>0</v>
      </c>
      <c r="Z227">
        <v>107</v>
      </c>
      <c r="AA227" s="1">
        <v>286.97000000000003</v>
      </c>
      <c r="AB227">
        <v>20</v>
      </c>
      <c r="AC227" s="1">
        <v>49.71</v>
      </c>
      <c r="AD227">
        <v>0</v>
      </c>
      <c r="AE227" s="1">
        <v>0</v>
      </c>
      <c r="AF227" s="1">
        <v>0</v>
      </c>
      <c r="AG227" s="1">
        <v>0</v>
      </c>
      <c r="AH227" s="1">
        <v>0</v>
      </c>
      <c r="AI227" s="1">
        <v>0</v>
      </c>
      <c r="AJ227" s="1">
        <v>308.72000000000003</v>
      </c>
      <c r="AL227" s="1">
        <v>3472.77</v>
      </c>
      <c r="AM227" s="1">
        <v>0</v>
      </c>
      <c r="AN227" s="1">
        <v>884</v>
      </c>
      <c r="AO227" s="1">
        <v>0</v>
      </c>
      <c r="AP227" s="1">
        <v>18.510000000000002</v>
      </c>
      <c r="AQ227">
        <v>73</v>
      </c>
      <c r="AR227" s="1">
        <v>456.81</v>
      </c>
      <c r="AS227">
        <v>273</v>
      </c>
      <c r="AT227" s="1">
        <v>1653.03</v>
      </c>
      <c r="AU227">
        <v>31</v>
      </c>
      <c r="AV227" s="1">
        <v>230.92</v>
      </c>
      <c r="AW227">
        <v>10</v>
      </c>
      <c r="AX227" s="1">
        <v>48.05</v>
      </c>
      <c r="AY227">
        <v>74</v>
      </c>
      <c r="AZ227" s="1">
        <v>308.05</v>
      </c>
      <c r="BA227">
        <v>1</v>
      </c>
      <c r="BB227" s="1">
        <v>11.46</v>
      </c>
      <c r="BC227">
        <v>1</v>
      </c>
      <c r="BD227" s="1">
        <v>2.38</v>
      </c>
      <c r="BE227">
        <v>16</v>
      </c>
      <c r="BF227" s="1">
        <v>64.760000000000005</v>
      </c>
      <c r="BG227">
        <v>2</v>
      </c>
      <c r="BH227" s="1">
        <v>13.45</v>
      </c>
      <c r="BK227">
        <v>10</v>
      </c>
      <c r="BL227" s="1">
        <v>60.52</v>
      </c>
      <c r="BP227">
        <v>6</v>
      </c>
      <c r="BQ227" s="1">
        <v>81.58</v>
      </c>
      <c r="BR227" s="1">
        <v>65.27</v>
      </c>
      <c r="BZ227">
        <v>1</v>
      </c>
      <c r="CA227">
        <v>1</v>
      </c>
      <c r="CB227" s="1">
        <v>9.99</v>
      </c>
      <c r="CG227">
        <v>226</v>
      </c>
      <c r="CH227">
        <v>226</v>
      </c>
    </row>
    <row r="228" spans="1:86" x14ac:dyDescent="0.35">
      <c r="A228">
        <v>350437</v>
      </c>
      <c r="B228" s="2">
        <v>44216</v>
      </c>
      <c r="C228" s="2">
        <v>44216</v>
      </c>
      <c r="D228">
        <v>77</v>
      </c>
      <c r="E228" s="1">
        <v>269.44</v>
      </c>
      <c r="F228" s="1">
        <v>1089.73</v>
      </c>
      <c r="G228" s="1">
        <v>451.21</v>
      </c>
      <c r="H228" s="1">
        <v>596.30999999999995</v>
      </c>
      <c r="I228" s="1">
        <v>78.069999999999993</v>
      </c>
      <c r="J228" s="1">
        <v>2369.86</v>
      </c>
      <c r="K228" s="1">
        <v>0</v>
      </c>
      <c r="L228">
        <v>411</v>
      </c>
      <c r="M228" s="1">
        <v>0</v>
      </c>
      <c r="N228" s="1">
        <v>2437.38</v>
      </c>
      <c r="O228">
        <v>0</v>
      </c>
      <c r="P228" s="1">
        <v>0</v>
      </c>
      <c r="Q228">
        <v>6</v>
      </c>
      <c r="R228" s="1">
        <v>2.27</v>
      </c>
      <c r="S228">
        <v>22</v>
      </c>
      <c r="T228" s="1">
        <v>44.03</v>
      </c>
      <c r="U228" s="1">
        <v>21.22</v>
      </c>
      <c r="V228">
        <v>0</v>
      </c>
      <c r="W228" s="1">
        <v>0</v>
      </c>
      <c r="X228">
        <v>20</v>
      </c>
      <c r="Y228" s="1">
        <v>0</v>
      </c>
      <c r="Z228">
        <v>61</v>
      </c>
      <c r="AA228" s="1">
        <v>154.76</v>
      </c>
      <c r="AB228">
        <v>6</v>
      </c>
      <c r="AC228" s="1">
        <v>13.74</v>
      </c>
      <c r="AD228">
        <v>3</v>
      </c>
      <c r="AE228" s="1">
        <v>0</v>
      </c>
      <c r="AF228" s="1">
        <v>0</v>
      </c>
      <c r="AG228" s="1">
        <v>0</v>
      </c>
      <c r="AH228" s="1">
        <v>0</v>
      </c>
      <c r="AI228" s="1">
        <v>0</v>
      </c>
      <c r="AJ228" s="1">
        <v>210.71</v>
      </c>
      <c r="AL228" s="1">
        <v>2369.86</v>
      </c>
      <c r="AM228" s="1">
        <v>0</v>
      </c>
      <c r="AN228" s="1">
        <v>0.01</v>
      </c>
      <c r="AO228" s="1">
        <v>225</v>
      </c>
      <c r="AP228" s="1">
        <v>-313.35000000000002</v>
      </c>
      <c r="AQ228">
        <v>46</v>
      </c>
      <c r="AR228" s="1">
        <v>254.8</v>
      </c>
      <c r="AS228">
        <v>172</v>
      </c>
      <c r="AT228" s="1">
        <v>1112.17</v>
      </c>
      <c r="AU228">
        <v>34</v>
      </c>
      <c r="AV228" s="1">
        <v>275.58</v>
      </c>
      <c r="AW228">
        <v>6</v>
      </c>
      <c r="AX228" s="1">
        <v>36.18</v>
      </c>
      <c r="AY228">
        <v>32</v>
      </c>
      <c r="AZ228" s="1">
        <v>153.57</v>
      </c>
      <c r="BA228">
        <v>1</v>
      </c>
      <c r="BB228" s="1">
        <v>4.66</v>
      </c>
      <c r="BE228">
        <v>9</v>
      </c>
      <c r="BF228" s="1">
        <v>51.83</v>
      </c>
      <c r="BK228">
        <v>5</v>
      </c>
      <c r="BL228" s="1">
        <v>25.1</v>
      </c>
      <c r="BP228">
        <v>5</v>
      </c>
      <c r="BQ228" s="1">
        <v>62.12</v>
      </c>
      <c r="BR228" s="1">
        <v>61.03</v>
      </c>
      <c r="BZ228">
        <v>1</v>
      </c>
      <c r="CA228">
        <v>7</v>
      </c>
      <c r="CB228" s="1">
        <v>66.2</v>
      </c>
      <c r="CG228">
        <v>227</v>
      </c>
      <c r="CH228">
        <v>227</v>
      </c>
    </row>
    <row r="229" spans="1:86" x14ac:dyDescent="0.35">
      <c r="A229">
        <v>351323</v>
      </c>
      <c r="B229" s="2">
        <v>44216</v>
      </c>
      <c r="C229" s="2">
        <v>44216</v>
      </c>
      <c r="D229">
        <v>119</v>
      </c>
      <c r="E229" s="1">
        <v>388.44</v>
      </c>
      <c r="F229" s="1">
        <v>1411.35</v>
      </c>
      <c r="G229" s="1">
        <v>502.36</v>
      </c>
      <c r="H229" s="1">
        <v>553.74</v>
      </c>
      <c r="I229" s="1">
        <v>103.31</v>
      </c>
      <c r="J229" s="1">
        <v>2770.74</v>
      </c>
      <c r="K229" s="1">
        <v>364.31</v>
      </c>
      <c r="L229">
        <v>535</v>
      </c>
      <c r="M229" s="1">
        <v>374.72</v>
      </c>
      <c r="N229" s="1">
        <v>2866.35</v>
      </c>
      <c r="O229">
        <v>1</v>
      </c>
      <c r="P229" s="1">
        <v>11.87</v>
      </c>
      <c r="Q229">
        <v>9</v>
      </c>
      <c r="R229" s="1">
        <v>2.2200000000000002</v>
      </c>
      <c r="S229">
        <v>40</v>
      </c>
      <c r="T229" s="1">
        <v>56.27</v>
      </c>
      <c r="U229" s="1">
        <v>35.659999999999997</v>
      </c>
      <c r="V229">
        <v>0</v>
      </c>
      <c r="W229" s="1">
        <v>0</v>
      </c>
      <c r="X229">
        <v>9</v>
      </c>
      <c r="Y229" s="1">
        <v>0</v>
      </c>
      <c r="Z229">
        <v>88</v>
      </c>
      <c r="AA229" s="1">
        <v>283.97000000000003</v>
      </c>
      <c r="AB229">
        <v>7</v>
      </c>
      <c r="AC229" s="1">
        <v>24.63</v>
      </c>
      <c r="AD229">
        <v>3</v>
      </c>
      <c r="AE229" s="1">
        <v>0</v>
      </c>
      <c r="AF229" s="1">
        <v>0</v>
      </c>
      <c r="AG229" s="1">
        <v>0</v>
      </c>
      <c r="AH229" s="1">
        <v>0</v>
      </c>
      <c r="AI229" s="1">
        <v>0</v>
      </c>
      <c r="AJ229" s="1">
        <v>187.96</v>
      </c>
      <c r="AL229" s="1">
        <v>3135.05</v>
      </c>
      <c r="AM229" s="1">
        <v>0</v>
      </c>
      <c r="AN229" s="1">
        <v>543</v>
      </c>
      <c r="AO229" s="1">
        <v>0</v>
      </c>
      <c r="AP229" s="1">
        <v>-1.22</v>
      </c>
      <c r="AQ229">
        <v>82</v>
      </c>
      <c r="AR229" s="1">
        <v>579.19000000000005</v>
      </c>
      <c r="AS229">
        <v>232</v>
      </c>
      <c r="AT229" s="1">
        <v>1468.05</v>
      </c>
      <c r="AU229">
        <v>12</v>
      </c>
      <c r="AV229" s="1">
        <v>142.08000000000001</v>
      </c>
      <c r="AW229">
        <v>7</v>
      </c>
      <c r="AX229" s="1">
        <v>23.93</v>
      </c>
      <c r="AY229">
        <v>62</v>
      </c>
      <c r="AZ229" s="1">
        <v>257.14</v>
      </c>
      <c r="BA229">
        <v>1</v>
      </c>
      <c r="BB229" s="1">
        <v>4.01</v>
      </c>
      <c r="BE229">
        <v>6</v>
      </c>
      <c r="BF229" s="1">
        <v>48.55</v>
      </c>
      <c r="BG229">
        <v>1</v>
      </c>
      <c r="BH229" s="1">
        <v>4.75</v>
      </c>
      <c r="BI229">
        <v>1</v>
      </c>
      <c r="BJ229" s="1">
        <v>124.29</v>
      </c>
      <c r="BK229">
        <v>5</v>
      </c>
      <c r="BL229" s="1">
        <v>29.03</v>
      </c>
      <c r="BM229">
        <v>1</v>
      </c>
      <c r="BN229" s="1">
        <v>14.68</v>
      </c>
      <c r="BO229" s="1">
        <v>13.85</v>
      </c>
      <c r="BP229">
        <v>4</v>
      </c>
      <c r="BQ229" s="1">
        <v>39.409999999999997</v>
      </c>
      <c r="BR229" s="1">
        <v>49.02</v>
      </c>
      <c r="BZ229">
        <v>1</v>
      </c>
      <c r="CA229">
        <v>3</v>
      </c>
      <c r="CB229" s="1">
        <v>43.68</v>
      </c>
      <c r="CG229">
        <v>228</v>
      </c>
      <c r="CH229">
        <v>228</v>
      </c>
    </row>
    <row r="230" spans="1:86" x14ac:dyDescent="0.35">
      <c r="A230">
        <v>353927</v>
      </c>
      <c r="B230" s="2">
        <v>44216</v>
      </c>
      <c r="C230" s="2">
        <v>44216</v>
      </c>
      <c r="D230">
        <v>121</v>
      </c>
      <c r="E230" s="1">
        <v>400.16</v>
      </c>
      <c r="F230" s="1">
        <v>1566.8</v>
      </c>
      <c r="G230" s="1">
        <v>684.76</v>
      </c>
      <c r="H230" s="1">
        <v>661.54</v>
      </c>
      <c r="I230" s="1">
        <v>102.95</v>
      </c>
      <c r="J230" s="1">
        <v>3239.63</v>
      </c>
      <c r="K230" s="1">
        <v>0</v>
      </c>
      <c r="L230">
        <v>586</v>
      </c>
      <c r="M230" s="1">
        <v>0</v>
      </c>
      <c r="N230" s="1">
        <v>3419.71</v>
      </c>
      <c r="O230">
        <v>2</v>
      </c>
      <c r="P230" s="1">
        <v>13.82</v>
      </c>
      <c r="Q230">
        <v>6</v>
      </c>
      <c r="R230" s="1">
        <v>1.4</v>
      </c>
      <c r="S230">
        <v>59</v>
      </c>
      <c r="T230" s="1">
        <v>114.88</v>
      </c>
      <c r="U230" s="1">
        <v>49.98</v>
      </c>
      <c r="V230">
        <v>1</v>
      </c>
      <c r="W230" s="1">
        <v>20</v>
      </c>
      <c r="X230">
        <v>14</v>
      </c>
      <c r="Y230" s="1">
        <v>0</v>
      </c>
      <c r="Z230">
        <v>76</v>
      </c>
      <c r="AA230" s="1">
        <v>232.47</v>
      </c>
      <c r="AB230">
        <v>22</v>
      </c>
      <c r="AC230" s="1">
        <v>63.06</v>
      </c>
      <c r="AD230">
        <v>3</v>
      </c>
      <c r="AE230" s="1">
        <v>4.32</v>
      </c>
      <c r="AF230" s="1">
        <v>0</v>
      </c>
      <c r="AG230" s="1">
        <v>0</v>
      </c>
      <c r="AH230" s="1">
        <v>0</v>
      </c>
      <c r="AI230" s="1">
        <v>0</v>
      </c>
      <c r="AJ230" s="1">
        <v>194.2</v>
      </c>
      <c r="AL230" s="1">
        <v>3239.63</v>
      </c>
      <c r="AM230" s="1">
        <v>0</v>
      </c>
      <c r="AN230" s="1">
        <v>769</v>
      </c>
      <c r="AO230" s="1">
        <v>0</v>
      </c>
      <c r="AP230" s="1">
        <v>2.4500000000000002</v>
      </c>
      <c r="AQ230">
        <v>82</v>
      </c>
      <c r="AR230" s="1">
        <v>511.57</v>
      </c>
      <c r="AS230">
        <v>237</v>
      </c>
      <c r="AT230" s="1">
        <v>1561.38</v>
      </c>
      <c r="AU230">
        <v>9</v>
      </c>
      <c r="AV230" s="1">
        <v>67.16</v>
      </c>
      <c r="AW230">
        <v>3</v>
      </c>
      <c r="AX230" s="1">
        <v>15.57</v>
      </c>
      <c r="AY230">
        <v>59</v>
      </c>
      <c r="AZ230" s="1">
        <v>264.23</v>
      </c>
      <c r="BA230">
        <v>1</v>
      </c>
      <c r="BB230" s="1">
        <v>15.01</v>
      </c>
      <c r="BE230">
        <v>14</v>
      </c>
      <c r="BF230" s="1">
        <v>66.95</v>
      </c>
      <c r="BG230">
        <v>2</v>
      </c>
      <c r="BH230" s="1">
        <v>15.42</v>
      </c>
      <c r="BK230">
        <v>5</v>
      </c>
      <c r="BL230" s="1">
        <v>30.84</v>
      </c>
      <c r="BM230">
        <v>1</v>
      </c>
      <c r="BN230" s="1">
        <v>26.66</v>
      </c>
      <c r="BO230" s="1">
        <v>25.15</v>
      </c>
      <c r="BP230">
        <v>7</v>
      </c>
      <c r="BQ230" s="1">
        <v>61.77</v>
      </c>
      <c r="BR230" s="1">
        <v>58.28</v>
      </c>
      <c r="BZ230">
        <v>1</v>
      </c>
      <c r="CA230">
        <v>5</v>
      </c>
      <c r="CB230" s="1">
        <v>50.72</v>
      </c>
      <c r="CG230">
        <v>229</v>
      </c>
      <c r="CH230">
        <v>229</v>
      </c>
    </row>
    <row r="231" spans="1:86" x14ac:dyDescent="0.35">
      <c r="A231">
        <v>354030</v>
      </c>
      <c r="B231" s="2">
        <v>44216</v>
      </c>
      <c r="C231" s="2">
        <v>44216</v>
      </c>
      <c r="D231">
        <v>98</v>
      </c>
      <c r="E231" s="1">
        <v>337.49</v>
      </c>
      <c r="F231" s="1">
        <v>1168.69</v>
      </c>
      <c r="G231" s="1">
        <v>516.70000000000005</v>
      </c>
      <c r="H231" s="1">
        <v>533</v>
      </c>
      <c r="I231" s="1">
        <v>95.41</v>
      </c>
      <c r="J231" s="1">
        <v>2432.88</v>
      </c>
      <c r="K231" s="1">
        <v>104.58</v>
      </c>
      <c r="L231">
        <v>438</v>
      </c>
      <c r="M231" s="1">
        <v>106.77</v>
      </c>
      <c r="N231" s="1">
        <v>2577.5</v>
      </c>
      <c r="O231">
        <v>0</v>
      </c>
      <c r="P231" s="1">
        <v>0</v>
      </c>
      <c r="Q231">
        <v>7</v>
      </c>
      <c r="R231" s="1">
        <v>5.03</v>
      </c>
      <c r="S231">
        <v>52</v>
      </c>
      <c r="T231" s="1">
        <v>108.75</v>
      </c>
      <c r="U231" s="1">
        <v>33.03</v>
      </c>
      <c r="V231">
        <v>0</v>
      </c>
      <c r="W231" s="1">
        <v>0</v>
      </c>
      <c r="X231">
        <v>5</v>
      </c>
      <c r="Y231" s="1">
        <v>0</v>
      </c>
      <c r="Z231">
        <v>43</v>
      </c>
      <c r="AA231" s="1">
        <v>138</v>
      </c>
      <c r="AB231">
        <v>4</v>
      </c>
      <c r="AC231" s="1">
        <v>10.96</v>
      </c>
      <c r="AD231">
        <v>1</v>
      </c>
      <c r="AE231" s="1">
        <v>0</v>
      </c>
      <c r="AF231" s="1">
        <v>0</v>
      </c>
      <c r="AG231" s="1">
        <v>0</v>
      </c>
      <c r="AH231" s="1">
        <v>0</v>
      </c>
      <c r="AI231" s="1">
        <v>0</v>
      </c>
      <c r="AJ231" s="1">
        <v>152.26</v>
      </c>
      <c r="AL231" s="1">
        <v>2537.46</v>
      </c>
      <c r="AM231" s="1">
        <v>0</v>
      </c>
      <c r="AN231" s="1">
        <v>443</v>
      </c>
      <c r="AO231" s="1">
        <v>0</v>
      </c>
      <c r="AP231" s="1">
        <v>4.58</v>
      </c>
      <c r="AQ231">
        <v>62</v>
      </c>
      <c r="AR231" s="1">
        <v>348.45</v>
      </c>
      <c r="AS231">
        <v>173</v>
      </c>
      <c r="AT231" s="1">
        <v>1226.3399999999999</v>
      </c>
      <c r="AU231">
        <v>15</v>
      </c>
      <c r="AV231" s="1">
        <v>85.57</v>
      </c>
      <c r="AW231">
        <v>6</v>
      </c>
      <c r="AX231" s="1">
        <v>32.950000000000003</v>
      </c>
      <c r="AY231">
        <v>58</v>
      </c>
      <c r="AZ231" s="1">
        <v>314.02999999999997</v>
      </c>
      <c r="BC231">
        <v>1</v>
      </c>
      <c r="BD231" s="1">
        <v>4.0199999999999996</v>
      </c>
      <c r="BE231">
        <v>14</v>
      </c>
      <c r="BF231" s="1">
        <v>81.36</v>
      </c>
      <c r="BK231">
        <v>3</v>
      </c>
      <c r="BL231" s="1">
        <v>25.65</v>
      </c>
      <c r="BP231">
        <v>8</v>
      </c>
      <c r="BQ231" s="1">
        <v>74.349999999999994</v>
      </c>
      <c r="BR231" s="1">
        <v>70.14</v>
      </c>
      <c r="BZ231">
        <v>1</v>
      </c>
      <c r="CA231">
        <v>5</v>
      </c>
      <c r="CB231" s="1">
        <v>58.58</v>
      </c>
      <c r="CG231">
        <v>230</v>
      </c>
      <c r="CH231">
        <v>230</v>
      </c>
    </row>
    <row r="232" spans="1:86" x14ac:dyDescent="0.35">
      <c r="A232">
        <v>355439</v>
      </c>
      <c r="B232" s="2">
        <v>44216</v>
      </c>
      <c r="C232" s="2">
        <v>44216</v>
      </c>
      <c r="D232">
        <v>147</v>
      </c>
      <c r="E232" s="1">
        <v>460.24</v>
      </c>
      <c r="F232" s="1">
        <v>1665.02</v>
      </c>
      <c r="G232" s="1">
        <v>581.96</v>
      </c>
      <c r="H232" s="1">
        <v>704.31</v>
      </c>
      <c r="I232" s="1">
        <v>102.53</v>
      </c>
      <c r="J232" s="1">
        <v>3217.25</v>
      </c>
      <c r="K232" s="1">
        <v>0</v>
      </c>
      <c r="L232">
        <v>640</v>
      </c>
      <c r="M232" s="1">
        <v>0</v>
      </c>
      <c r="N232" s="1">
        <v>3320.83</v>
      </c>
      <c r="O232">
        <v>1</v>
      </c>
      <c r="P232" s="1">
        <v>6.56</v>
      </c>
      <c r="Q232">
        <v>11</v>
      </c>
      <c r="R232" s="1">
        <v>7.35</v>
      </c>
      <c r="S232">
        <v>45</v>
      </c>
      <c r="T232" s="1">
        <v>68.09</v>
      </c>
      <c r="U232" s="1">
        <v>21.58</v>
      </c>
      <c r="V232">
        <v>2</v>
      </c>
      <c r="W232" s="1">
        <v>45</v>
      </c>
      <c r="X232">
        <v>10</v>
      </c>
      <c r="Y232" s="1">
        <v>0</v>
      </c>
      <c r="Z232">
        <v>97</v>
      </c>
      <c r="AA232" s="1">
        <v>230.81</v>
      </c>
      <c r="AB232">
        <v>8</v>
      </c>
      <c r="AC232" s="1">
        <v>30.28</v>
      </c>
      <c r="AD232">
        <v>4</v>
      </c>
      <c r="AE232" s="1">
        <v>0</v>
      </c>
      <c r="AF232" s="1">
        <v>0</v>
      </c>
      <c r="AG232" s="1">
        <v>0</v>
      </c>
      <c r="AH232" s="1">
        <v>0</v>
      </c>
      <c r="AI232" s="1">
        <v>0</v>
      </c>
      <c r="AJ232" s="1">
        <v>257.55</v>
      </c>
      <c r="AL232" s="1">
        <v>3217.25</v>
      </c>
      <c r="AM232" s="1">
        <v>0</v>
      </c>
      <c r="AN232" s="1">
        <v>639</v>
      </c>
      <c r="AO232" s="1">
        <v>0</v>
      </c>
      <c r="AP232" s="1">
        <v>2.4300000000000002</v>
      </c>
      <c r="AQ232">
        <v>79</v>
      </c>
      <c r="AR232" s="1">
        <v>551.45000000000005</v>
      </c>
      <c r="AS232">
        <v>274</v>
      </c>
      <c r="AT232" s="1">
        <v>1572.61</v>
      </c>
      <c r="AU232">
        <v>34</v>
      </c>
      <c r="AV232" s="1">
        <v>194.54</v>
      </c>
      <c r="AW232">
        <v>8</v>
      </c>
      <c r="AX232" s="1">
        <v>58.2</v>
      </c>
      <c r="AY232">
        <v>61</v>
      </c>
      <c r="AZ232" s="1">
        <v>260.01</v>
      </c>
      <c r="BA232">
        <v>5</v>
      </c>
      <c r="BB232" s="1">
        <v>22.81</v>
      </c>
      <c r="BC232">
        <v>1</v>
      </c>
      <c r="BD232" s="1">
        <v>10.83</v>
      </c>
      <c r="BE232">
        <v>13</v>
      </c>
      <c r="BF232" s="1">
        <v>78.34</v>
      </c>
      <c r="BG232">
        <v>1</v>
      </c>
      <c r="BH232" s="1">
        <v>2.8</v>
      </c>
      <c r="BK232">
        <v>15</v>
      </c>
      <c r="BL232" s="1">
        <v>83.7</v>
      </c>
      <c r="BZ232">
        <v>1</v>
      </c>
      <c r="CA232">
        <v>4</v>
      </c>
      <c r="CB232" s="1">
        <v>47.94</v>
      </c>
      <c r="CG232">
        <v>231</v>
      </c>
      <c r="CH232">
        <v>231</v>
      </c>
    </row>
    <row r="233" spans="1:86" x14ac:dyDescent="0.35">
      <c r="A233">
        <v>350432</v>
      </c>
      <c r="B233" s="2">
        <v>44213</v>
      </c>
      <c r="C233" s="2">
        <v>44219</v>
      </c>
      <c r="D233">
        <v>1213</v>
      </c>
      <c r="E233" s="1">
        <v>3819.13</v>
      </c>
      <c r="F233" s="1">
        <v>13207.76</v>
      </c>
      <c r="G233" s="1">
        <v>4298.68</v>
      </c>
      <c r="H233" s="1">
        <v>6753.72</v>
      </c>
      <c r="I233" s="1">
        <v>891.65</v>
      </c>
      <c r="J233" s="1">
        <v>26998.720000000001</v>
      </c>
      <c r="K233" s="1">
        <v>3753.72</v>
      </c>
      <c r="L233">
        <v>5058</v>
      </c>
      <c r="M233" s="1">
        <v>3811.92</v>
      </c>
      <c r="N233" s="1">
        <v>28072.639999999999</v>
      </c>
      <c r="O233">
        <v>12</v>
      </c>
      <c r="P233" s="1">
        <v>39.97</v>
      </c>
      <c r="Q233">
        <v>92</v>
      </c>
      <c r="R233" s="1">
        <v>60.61</v>
      </c>
      <c r="S233">
        <v>351</v>
      </c>
      <c r="T233" s="1">
        <v>662.1</v>
      </c>
      <c r="U233" s="1">
        <v>369.44</v>
      </c>
      <c r="V233">
        <v>3</v>
      </c>
      <c r="W233" s="1">
        <v>100</v>
      </c>
      <c r="X233">
        <v>135</v>
      </c>
      <c r="Y233" s="1">
        <v>0</v>
      </c>
      <c r="Z233">
        <v>916</v>
      </c>
      <c r="AA233" s="1">
        <v>3059.83</v>
      </c>
      <c r="AB233">
        <v>126</v>
      </c>
      <c r="AC233" s="1">
        <v>329.9</v>
      </c>
      <c r="AD233">
        <v>18</v>
      </c>
      <c r="AE233" s="1">
        <v>87.49</v>
      </c>
      <c r="AF233" s="1">
        <v>0</v>
      </c>
      <c r="AG233" s="1">
        <v>0</v>
      </c>
      <c r="AH233" s="1">
        <v>0</v>
      </c>
      <c r="AI233" s="1">
        <v>0</v>
      </c>
      <c r="AJ233" s="1">
        <v>2276.71</v>
      </c>
      <c r="AL233" s="1">
        <v>30752.44</v>
      </c>
      <c r="AM233" s="1">
        <v>0</v>
      </c>
      <c r="AN233" s="1">
        <v>5027</v>
      </c>
      <c r="AO233" s="1">
        <v>82.57</v>
      </c>
      <c r="AP233" s="1">
        <v>20.88</v>
      </c>
      <c r="AQ233">
        <v>570</v>
      </c>
      <c r="AR233" s="1">
        <v>3987.95</v>
      </c>
      <c r="AS233">
        <v>2206</v>
      </c>
      <c r="AT233" s="1">
        <v>15859.41</v>
      </c>
      <c r="AU233">
        <v>244</v>
      </c>
      <c r="AV233" s="1">
        <v>1907.54</v>
      </c>
      <c r="AW233">
        <v>61</v>
      </c>
      <c r="AX233" s="1">
        <v>444.86</v>
      </c>
      <c r="AY233">
        <v>431</v>
      </c>
      <c r="AZ233" s="1">
        <v>2035.83</v>
      </c>
      <c r="BA233">
        <v>6</v>
      </c>
      <c r="BB233" s="1">
        <v>36.1</v>
      </c>
      <c r="BC233">
        <v>17</v>
      </c>
      <c r="BD233" s="1">
        <v>65.599999999999994</v>
      </c>
      <c r="BE233">
        <v>97</v>
      </c>
      <c r="BF233" s="1">
        <v>529.33000000000004</v>
      </c>
      <c r="BG233">
        <v>22</v>
      </c>
      <c r="BH233" s="1">
        <v>146.05000000000001</v>
      </c>
      <c r="BI233">
        <v>5</v>
      </c>
      <c r="BJ233" s="1">
        <v>72.92</v>
      </c>
      <c r="BK233">
        <v>59</v>
      </c>
      <c r="BL233" s="1">
        <v>299.95999999999998</v>
      </c>
      <c r="BM233">
        <v>3</v>
      </c>
      <c r="BN233" s="1">
        <v>13.07</v>
      </c>
      <c r="BO233" s="1">
        <v>17.079999999999998</v>
      </c>
      <c r="BP233">
        <v>97</v>
      </c>
      <c r="BQ233" s="1">
        <v>1027.21</v>
      </c>
      <c r="BR233" s="1">
        <v>1216.5999999999999</v>
      </c>
      <c r="CA233">
        <v>38</v>
      </c>
      <c r="CB233" s="1">
        <v>350.92</v>
      </c>
      <c r="CG233">
        <v>232</v>
      </c>
      <c r="CH233">
        <v>232</v>
      </c>
    </row>
    <row r="234" spans="1:86" x14ac:dyDescent="0.35">
      <c r="A234">
        <v>350437</v>
      </c>
      <c r="B234" s="2">
        <v>44213</v>
      </c>
      <c r="C234" s="2">
        <v>44219</v>
      </c>
      <c r="D234">
        <v>629</v>
      </c>
      <c r="E234" s="1">
        <v>2098.29</v>
      </c>
      <c r="F234" s="1">
        <v>7804.68</v>
      </c>
      <c r="G234" s="1">
        <v>3349.5</v>
      </c>
      <c r="H234" s="1">
        <v>4169.8999999999996</v>
      </c>
      <c r="I234" s="1">
        <v>587.44000000000005</v>
      </c>
      <c r="J234" s="1">
        <v>17055.96</v>
      </c>
      <c r="K234" s="1">
        <v>0</v>
      </c>
      <c r="L234">
        <v>2995</v>
      </c>
      <c r="M234" s="1">
        <v>0</v>
      </c>
      <c r="N234" s="1">
        <v>17611.349999999999</v>
      </c>
      <c r="O234">
        <v>5</v>
      </c>
      <c r="P234" s="1">
        <v>34.69</v>
      </c>
      <c r="Q234">
        <v>39</v>
      </c>
      <c r="R234" s="1">
        <v>27.62</v>
      </c>
      <c r="S234">
        <v>158</v>
      </c>
      <c r="T234" s="1">
        <v>315.39</v>
      </c>
      <c r="U234" s="1">
        <v>177.69</v>
      </c>
      <c r="V234">
        <v>4</v>
      </c>
      <c r="W234" s="1">
        <v>52</v>
      </c>
      <c r="X234">
        <v>95</v>
      </c>
      <c r="Y234" s="1">
        <v>0</v>
      </c>
      <c r="Z234">
        <v>432</v>
      </c>
      <c r="AA234" s="1">
        <v>1123.6500000000001</v>
      </c>
      <c r="AB234">
        <v>62</v>
      </c>
      <c r="AC234" s="1">
        <v>144.62</v>
      </c>
      <c r="AD234">
        <v>20</v>
      </c>
      <c r="AE234" s="1">
        <v>33.79</v>
      </c>
      <c r="AF234" s="1">
        <v>2</v>
      </c>
      <c r="AG234" s="1">
        <v>2</v>
      </c>
      <c r="AH234" s="1">
        <v>0</v>
      </c>
      <c r="AI234" s="1">
        <v>0</v>
      </c>
      <c r="AJ234" s="1">
        <v>1009.71</v>
      </c>
      <c r="AL234" s="1">
        <v>17055.96</v>
      </c>
      <c r="AM234" s="1">
        <v>2</v>
      </c>
      <c r="AN234" s="1">
        <v>1549.01</v>
      </c>
      <c r="AO234" s="1">
        <v>326</v>
      </c>
      <c r="AP234" s="1">
        <v>-300.12</v>
      </c>
      <c r="AQ234">
        <v>341</v>
      </c>
      <c r="AR234" s="1">
        <v>2375.98</v>
      </c>
      <c r="AS234">
        <v>1259</v>
      </c>
      <c r="AT234" s="1">
        <v>8082.54</v>
      </c>
      <c r="AU234">
        <v>252</v>
      </c>
      <c r="AV234" s="1">
        <v>1691.07</v>
      </c>
      <c r="AW234">
        <v>46</v>
      </c>
      <c r="AX234" s="1">
        <v>293.22000000000003</v>
      </c>
      <c r="AY234">
        <v>283</v>
      </c>
      <c r="AZ234" s="1">
        <v>1449.39</v>
      </c>
      <c r="BA234">
        <v>1</v>
      </c>
      <c r="BB234" s="1">
        <v>4.66</v>
      </c>
      <c r="BC234">
        <v>6</v>
      </c>
      <c r="BD234" s="1">
        <v>20.86</v>
      </c>
      <c r="BE234">
        <v>69</v>
      </c>
      <c r="BF234" s="1">
        <v>228.15</v>
      </c>
      <c r="BG234">
        <v>12</v>
      </c>
      <c r="BH234" s="1">
        <v>28.85</v>
      </c>
      <c r="BK234">
        <v>34</v>
      </c>
      <c r="BL234" s="1">
        <v>156.87</v>
      </c>
      <c r="BM234">
        <v>1</v>
      </c>
      <c r="BN234" s="1">
        <v>16.16</v>
      </c>
      <c r="BO234" s="1">
        <v>14.84</v>
      </c>
      <c r="BP234">
        <v>46</v>
      </c>
      <c r="BQ234" s="1">
        <v>401.67</v>
      </c>
      <c r="BR234" s="1">
        <v>568.94000000000005</v>
      </c>
      <c r="CA234">
        <v>24</v>
      </c>
      <c r="CB234" s="1">
        <v>183</v>
      </c>
      <c r="CG234">
        <v>233</v>
      </c>
      <c r="CH234">
        <v>233</v>
      </c>
    </row>
    <row r="235" spans="1:86" x14ac:dyDescent="0.35">
      <c r="A235">
        <v>351323</v>
      </c>
      <c r="B235" s="2">
        <v>44213</v>
      </c>
      <c r="C235" s="2">
        <v>44219</v>
      </c>
      <c r="D235">
        <v>882</v>
      </c>
      <c r="E235" s="1">
        <v>3037.78</v>
      </c>
      <c r="F235" s="1">
        <v>10779.6</v>
      </c>
      <c r="G235" s="1">
        <v>3535.87</v>
      </c>
      <c r="H235" s="1">
        <v>4808.3999999999996</v>
      </c>
      <c r="I235" s="1">
        <v>740.14</v>
      </c>
      <c r="J235" s="1">
        <v>21125.7</v>
      </c>
      <c r="K235" s="1">
        <v>2566.48</v>
      </c>
      <c r="L235">
        <v>3969</v>
      </c>
      <c r="M235" s="1">
        <v>2600.08</v>
      </c>
      <c r="N235" s="1">
        <v>21915.759999999998</v>
      </c>
      <c r="O235">
        <v>3</v>
      </c>
      <c r="P235" s="1">
        <v>21.23</v>
      </c>
      <c r="Q235">
        <v>40</v>
      </c>
      <c r="R235" s="1">
        <v>9.27</v>
      </c>
      <c r="S235">
        <v>295</v>
      </c>
      <c r="T235" s="1">
        <v>491.49</v>
      </c>
      <c r="U235" s="1">
        <v>301.67</v>
      </c>
      <c r="V235">
        <v>2</v>
      </c>
      <c r="W235" s="1">
        <v>70</v>
      </c>
      <c r="X235">
        <v>84</v>
      </c>
      <c r="Y235" s="1">
        <v>0</v>
      </c>
      <c r="Z235">
        <v>639</v>
      </c>
      <c r="AA235" s="1">
        <v>2226.19</v>
      </c>
      <c r="AB235">
        <v>105</v>
      </c>
      <c r="AC235" s="1">
        <v>271.69</v>
      </c>
      <c r="AD235">
        <v>29</v>
      </c>
      <c r="AE235" s="1">
        <v>77.38</v>
      </c>
      <c r="AF235" s="1">
        <v>0</v>
      </c>
      <c r="AG235" s="1">
        <v>0</v>
      </c>
      <c r="AH235" s="1">
        <v>0</v>
      </c>
      <c r="AI235" s="1">
        <v>0</v>
      </c>
      <c r="AJ235" s="1">
        <v>1179.78</v>
      </c>
      <c r="AL235" s="1">
        <v>23692.18</v>
      </c>
      <c r="AM235" s="1">
        <v>0</v>
      </c>
      <c r="AN235" s="1">
        <v>4103.03</v>
      </c>
      <c r="AO235" s="1">
        <v>20.69</v>
      </c>
      <c r="AP235" s="1">
        <v>4.97</v>
      </c>
      <c r="AQ235">
        <v>611</v>
      </c>
      <c r="AR235" s="1">
        <v>4162.54</v>
      </c>
      <c r="AS235">
        <v>1691</v>
      </c>
      <c r="AT235" s="1">
        <v>11450.06</v>
      </c>
      <c r="AU235">
        <v>94</v>
      </c>
      <c r="AV235" s="1">
        <v>768.5</v>
      </c>
      <c r="AW235">
        <v>50</v>
      </c>
      <c r="AX235" s="1">
        <v>328.62</v>
      </c>
      <c r="AY235">
        <v>415</v>
      </c>
      <c r="AZ235" s="1">
        <v>1999.56</v>
      </c>
      <c r="BA235">
        <v>6</v>
      </c>
      <c r="BB235" s="1">
        <v>44.16</v>
      </c>
      <c r="BC235">
        <v>2</v>
      </c>
      <c r="BD235" s="1">
        <v>31.48</v>
      </c>
      <c r="BE235">
        <v>56</v>
      </c>
      <c r="BF235" s="1">
        <v>267.98</v>
      </c>
      <c r="BG235">
        <v>19</v>
      </c>
      <c r="BH235" s="1">
        <v>123.19</v>
      </c>
      <c r="BI235">
        <v>2</v>
      </c>
      <c r="BJ235" s="1">
        <v>178.33</v>
      </c>
      <c r="BK235">
        <v>33</v>
      </c>
      <c r="BL235" s="1">
        <v>244.01</v>
      </c>
      <c r="BM235">
        <v>3</v>
      </c>
      <c r="BN235" s="1">
        <v>48.14</v>
      </c>
      <c r="BO235" s="1">
        <v>45.41</v>
      </c>
      <c r="BP235">
        <v>27</v>
      </c>
      <c r="BQ235" s="1">
        <v>231.18</v>
      </c>
      <c r="BR235" s="1">
        <v>254.71</v>
      </c>
      <c r="CA235">
        <v>14</v>
      </c>
      <c r="CB235" s="1">
        <v>146.94</v>
      </c>
      <c r="CG235">
        <v>234</v>
      </c>
      <c r="CH235">
        <v>234</v>
      </c>
    </row>
    <row r="236" spans="1:86" x14ac:dyDescent="0.35">
      <c r="A236">
        <v>353927</v>
      </c>
      <c r="B236" s="2">
        <v>44213</v>
      </c>
      <c r="C236" s="2">
        <v>44219</v>
      </c>
      <c r="D236">
        <v>948</v>
      </c>
      <c r="E236" s="1">
        <v>3186.87</v>
      </c>
      <c r="F236" s="1">
        <v>11141.32</v>
      </c>
      <c r="G236" s="1">
        <v>4605.12</v>
      </c>
      <c r="H236" s="1">
        <v>5348.95</v>
      </c>
      <c r="I236" s="1">
        <v>781.21</v>
      </c>
      <c r="J236" s="1">
        <v>23235.71</v>
      </c>
      <c r="K236" s="1">
        <v>0</v>
      </c>
      <c r="L236">
        <v>3914</v>
      </c>
      <c r="M236" s="1">
        <v>0</v>
      </c>
      <c r="N236" s="1">
        <v>24290.27</v>
      </c>
      <c r="O236">
        <v>7</v>
      </c>
      <c r="P236" s="1">
        <v>31.76</v>
      </c>
      <c r="Q236">
        <v>35</v>
      </c>
      <c r="R236" s="1">
        <v>56.53</v>
      </c>
      <c r="S236">
        <v>356</v>
      </c>
      <c r="T236" s="1">
        <v>609.16999999999996</v>
      </c>
      <c r="U236" s="1">
        <v>357.1</v>
      </c>
      <c r="V236">
        <v>2</v>
      </c>
      <c r="W236" s="1">
        <v>30</v>
      </c>
      <c r="X236">
        <v>91</v>
      </c>
      <c r="Y236" s="1">
        <v>0</v>
      </c>
      <c r="Z236">
        <v>564</v>
      </c>
      <c r="AA236" s="1">
        <v>1621.62</v>
      </c>
      <c r="AB236">
        <v>76</v>
      </c>
      <c r="AC236" s="1">
        <v>228.86</v>
      </c>
      <c r="AD236">
        <v>20</v>
      </c>
      <c r="AE236" s="1">
        <v>53.24</v>
      </c>
      <c r="AF236" s="1">
        <v>0</v>
      </c>
      <c r="AG236" s="1">
        <v>0</v>
      </c>
      <c r="AH236" s="1">
        <v>0</v>
      </c>
      <c r="AI236" s="1">
        <v>0</v>
      </c>
      <c r="AJ236" s="1">
        <v>1194.04</v>
      </c>
      <c r="AL236" s="1">
        <v>23235.71</v>
      </c>
      <c r="AM236" s="1">
        <v>0</v>
      </c>
      <c r="AN236" s="1">
        <v>4270</v>
      </c>
      <c r="AO236" s="1">
        <v>0</v>
      </c>
      <c r="AP236" s="1">
        <v>7.1</v>
      </c>
      <c r="AQ236">
        <v>573</v>
      </c>
      <c r="AR236" s="1">
        <v>3692.52</v>
      </c>
      <c r="AS236">
        <v>1652</v>
      </c>
      <c r="AT236" s="1">
        <v>11069.75</v>
      </c>
      <c r="AU236">
        <v>63</v>
      </c>
      <c r="AV236" s="1">
        <v>449.12</v>
      </c>
      <c r="AW236">
        <v>23</v>
      </c>
      <c r="AX236" s="1">
        <v>166.8</v>
      </c>
      <c r="AY236">
        <v>365</v>
      </c>
      <c r="AZ236" s="1">
        <v>1820.01</v>
      </c>
      <c r="BA236">
        <v>6</v>
      </c>
      <c r="BB236" s="1">
        <v>38.65</v>
      </c>
      <c r="BC236">
        <v>1</v>
      </c>
      <c r="BD236" s="1">
        <v>3.17</v>
      </c>
      <c r="BE236">
        <v>88</v>
      </c>
      <c r="BF236" s="1">
        <v>416.72</v>
      </c>
      <c r="BG236">
        <v>18</v>
      </c>
      <c r="BH236" s="1">
        <v>171.19</v>
      </c>
      <c r="BK236">
        <v>41</v>
      </c>
      <c r="BL236" s="1">
        <v>275.99</v>
      </c>
      <c r="BM236">
        <v>11</v>
      </c>
      <c r="BN236" s="1">
        <v>155.5</v>
      </c>
      <c r="BO236" s="1">
        <v>156.19</v>
      </c>
      <c r="BP236">
        <v>56</v>
      </c>
      <c r="BQ236" s="1">
        <v>667.62</v>
      </c>
      <c r="BR236" s="1">
        <v>698.85</v>
      </c>
      <c r="CA236">
        <v>42</v>
      </c>
      <c r="CB236" s="1">
        <v>406.11</v>
      </c>
      <c r="CG236">
        <v>235</v>
      </c>
      <c r="CH236">
        <v>235</v>
      </c>
    </row>
    <row r="237" spans="1:86" x14ac:dyDescent="0.35">
      <c r="A237">
        <v>354030</v>
      </c>
      <c r="B237" s="2">
        <v>44213</v>
      </c>
      <c r="C237" s="2">
        <v>44219</v>
      </c>
      <c r="D237">
        <v>889</v>
      </c>
      <c r="E237" s="1">
        <v>3016.26</v>
      </c>
      <c r="F237" s="1">
        <v>10021.84</v>
      </c>
      <c r="G237" s="1">
        <v>4742.95</v>
      </c>
      <c r="H237" s="1">
        <v>4266.7700000000004</v>
      </c>
      <c r="I237" s="1">
        <v>784.3</v>
      </c>
      <c r="J237" s="1">
        <v>20892.12</v>
      </c>
      <c r="K237" s="1">
        <v>1164.49</v>
      </c>
      <c r="L237">
        <v>3402</v>
      </c>
      <c r="M237" s="1">
        <v>1191.8699999999999</v>
      </c>
      <c r="N237" s="1">
        <v>21843.95</v>
      </c>
      <c r="O237">
        <v>3</v>
      </c>
      <c r="P237" s="1">
        <v>13.35</v>
      </c>
      <c r="Q237">
        <v>47</v>
      </c>
      <c r="R237" s="1">
        <v>40.799999999999997</v>
      </c>
      <c r="S237">
        <v>276</v>
      </c>
      <c r="T237" s="1">
        <v>539.76</v>
      </c>
      <c r="U237" s="1">
        <v>385.3</v>
      </c>
      <c r="V237">
        <v>9</v>
      </c>
      <c r="W237" s="1">
        <v>170</v>
      </c>
      <c r="X237">
        <v>61</v>
      </c>
      <c r="Y237" s="1">
        <v>0</v>
      </c>
      <c r="Z237">
        <v>450</v>
      </c>
      <c r="AA237" s="1">
        <v>1481.9</v>
      </c>
      <c r="AB237">
        <v>49</v>
      </c>
      <c r="AC237" s="1">
        <v>122.95</v>
      </c>
      <c r="AD237">
        <v>24</v>
      </c>
      <c r="AE237" s="1">
        <v>82.32</v>
      </c>
      <c r="AF237" s="1">
        <v>0</v>
      </c>
      <c r="AG237" s="1">
        <v>0</v>
      </c>
      <c r="AH237" s="1">
        <v>0</v>
      </c>
      <c r="AI237" s="1">
        <v>0</v>
      </c>
      <c r="AJ237" s="1">
        <v>1100.76</v>
      </c>
      <c r="AL237" s="1">
        <v>22056.61</v>
      </c>
      <c r="AM237" s="1">
        <v>0</v>
      </c>
      <c r="AN237" s="1">
        <v>2485</v>
      </c>
      <c r="AO237" s="1">
        <v>69.040000000000006</v>
      </c>
      <c r="AP237" s="1">
        <v>-15.64</v>
      </c>
      <c r="AQ237">
        <v>454</v>
      </c>
      <c r="AR237" s="1">
        <v>3334.38</v>
      </c>
      <c r="AS237">
        <v>1496</v>
      </c>
      <c r="AT237" s="1">
        <v>11308.58</v>
      </c>
      <c r="AU237">
        <v>127</v>
      </c>
      <c r="AV237" s="1">
        <v>1031.3800000000001</v>
      </c>
      <c r="AW237">
        <v>38</v>
      </c>
      <c r="AX237" s="1">
        <v>296.5</v>
      </c>
      <c r="AY237">
        <v>455</v>
      </c>
      <c r="AZ237" s="1">
        <v>2530.61</v>
      </c>
      <c r="BA237">
        <v>1</v>
      </c>
      <c r="BB237" s="1">
        <v>3.91</v>
      </c>
      <c r="BC237">
        <v>6</v>
      </c>
      <c r="BD237" s="1">
        <v>36.18</v>
      </c>
      <c r="BE237">
        <v>111</v>
      </c>
      <c r="BF237" s="1">
        <v>534.15</v>
      </c>
      <c r="BG237">
        <v>13</v>
      </c>
      <c r="BH237" s="1">
        <v>82.9</v>
      </c>
      <c r="BK237">
        <v>51</v>
      </c>
      <c r="BL237" s="1">
        <v>309.22000000000003</v>
      </c>
      <c r="BM237">
        <v>3</v>
      </c>
      <c r="BN237" s="1">
        <v>20.09</v>
      </c>
      <c r="BO237" s="1">
        <v>23.44</v>
      </c>
      <c r="BP237">
        <v>24</v>
      </c>
      <c r="BQ237" s="1">
        <v>236.82</v>
      </c>
      <c r="BR237" s="1">
        <v>244.58</v>
      </c>
      <c r="CA237">
        <v>37</v>
      </c>
      <c r="CB237" s="1">
        <v>392.84</v>
      </c>
      <c r="CG237">
        <v>236</v>
      </c>
      <c r="CH237">
        <v>236</v>
      </c>
    </row>
    <row r="238" spans="1:86" x14ac:dyDescent="0.35">
      <c r="A238">
        <v>355439</v>
      </c>
      <c r="B238" s="2">
        <v>44213</v>
      </c>
      <c r="C238" s="2">
        <v>44219</v>
      </c>
      <c r="D238">
        <v>1156</v>
      </c>
      <c r="E238" s="1">
        <v>3800.15</v>
      </c>
      <c r="F238" s="1">
        <v>12434.43</v>
      </c>
      <c r="G238" s="1">
        <v>5435.63</v>
      </c>
      <c r="H238" s="1">
        <v>5342.74</v>
      </c>
      <c r="I238" s="1">
        <v>736.54</v>
      </c>
      <c r="J238" s="1">
        <v>25573.3</v>
      </c>
      <c r="K238" s="1">
        <v>0</v>
      </c>
      <c r="L238">
        <v>4583</v>
      </c>
      <c r="M238" s="1">
        <v>0</v>
      </c>
      <c r="N238" s="1">
        <v>26459.03</v>
      </c>
      <c r="O238">
        <v>8</v>
      </c>
      <c r="P238" s="1">
        <v>58.61</v>
      </c>
      <c r="Q238">
        <v>57</v>
      </c>
      <c r="R238" s="1">
        <v>35.450000000000003</v>
      </c>
      <c r="S238">
        <v>298</v>
      </c>
      <c r="T238" s="1">
        <v>562.03</v>
      </c>
      <c r="U238" s="1">
        <v>229.64</v>
      </c>
      <c r="V238">
        <v>5</v>
      </c>
      <c r="W238" s="1">
        <v>85</v>
      </c>
      <c r="X238">
        <v>102</v>
      </c>
      <c r="Y238" s="1">
        <v>0</v>
      </c>
      <c r="Z238">
        <v>699</v>
      </c>
      <c r="AA238" s="1">
        <v>1920.99</v>
      </c>
      <c r="AB238">
        <v>78</v>
      </c>
      <c r="AC238" s="1">
        <v>210.8</v>
      </c>
      <c r="AD238">
        <v>21</v>
      </c>
      <c r="AE238" s="1">
        <v>33.47</v>
      </c>
      <c r="AF238" s="1">
        <v>0.15</v>
      </c>
      <c r="AG238" s="1">
        <v>0</v>
      </c>
      <c r="AH238" s="1">
        <v>0</v>
      </c>
      <c r="AI238" s="1">
        <v>0</v>
      </c>
      <c r="AJ238" s="1">
        <v>1398.89</v>
      </c>
      <c r="AL238" s="1">
        <v>25573.45</v>
      </c>
      <c r="AM238" s="1">
        <v>0</v>
      </c>
      <c r="AN238" s="1">
        <v>3136</v>
      </c>
      <c r="AO238" s="1">
        <v>0</v>
      </c>
      <c r="AP238" s="1">
        <v>12.79</v>
      </c>
      <c r="AQ238">
        <v>631</v>
      </c>
      <c r="AR238" s="1">
        <v>4281.99</v>
      </c>
      <c r="AS238">
        <v>1916</v>
      </c>
      <c r="AT238" s="1">
        <v>12578.36</v>
      </c>
      <c r="AU238">
        <v>213</v>
      </c>
      <c r="AV238" s="1">
        <v>1671.45</v>
      </c>
      <c r="AW238">
        <v>46</v>
      </c>
      <c r="AX238" s="1">
        <v>298.66000000000003</v>
      </c>
      <c r="AY238">
        <v>415</v>
      </c>
      <c r="AZ238" s="1">
        <v>2048.4499999999998</v>
      </c>
      <c r="BA238">
        <v>16</v>
      </c>
      <c r="BB238" s="1">
        <v>87.48</v>
      </c>
      <c r="BC238">
        <v>15</v>
      </c>
      <c r="BD238" s="1">
        <v>145.66</v>
      </c>
      <c r="BE238">
        <v>108</v>
      </c>
      <c r="BF238" s="1">
        <v>383.28</v>
      </c>
      <c r="BG238">
        <v>24</v>
      </c>
      <c r="BH238" s="1">
        <v>91.78</v>
      </c>
      <c r="BK238">
        <v>91</v>
      </c>
      <c r="BL238" s="1">
        <v>410.8</v>
      </c>
      <c r="BM238">
        <v>7</v>
      </c>
      <c r="BN238" s="1">
        <v>90.34</v>
      </c>
      <c r="BO238" s="1">
        <v>90.23</v>
      </c>
      <c r="BP238">
        <v>13</v>
      </c>
      <c r="BQ238" s="1">
        <v>114.21</v>
      </c>
      <c r="BR238" s="1">
        <v>154</v>
      </c>
      <c r="CA238">
        <v>42</v>
      </c>
      <c r="CB238" s="1">
        <v>315.08999999999997</v>
      </c>
      <c r="CG238">
        <v>237</v>
      </c>
      <c r="CH238">
        <v>237</v>
      </c>
    </row>
    <row r="239" spans="1:86" x14ac:dyDescent="0.35">
      <c r="A239">
        <v>352613</v>
      </c>
      <c r="B239" s="2">
        <v>44213</v>
      </c>
      <c r="C239" s="2">
        <v>44219</v>
      </c>
      <c r="D239">
        <v>786</v>
      </c>
      <c r="E239">
        <v>2753.94</v>
      </c>
      <c r="F239">
        <v>11645.599999999999</v>
      </c>
      <c r="G239">
        <v>4019.09</v>
      </c>
      <c r="H239">
        <v>4893.0600000000004</v>
      </c>
      <c r="I239">
        <v>1151.19</v>
      </c>
      <c r="J239">
        <v>22266.93</v>
      </c>
      <c r="K239">
        <v>1699.7199999999998</v>
      </c>
      <c r="L239">
        <v>4110</v>
      </c>
      <c r="M239">
        <v>1731.7199999999998</v>
      </c>
      <c r="N239">
        <v>23212.7</v>
      </c>
      <c r="O239">
        <v>31</v>
      </c>
      <c r="P239">
        <v>39.659999999999997</v>
      </c>
      <c r="R239">
        <v>977.7700000000001</v>
      </c>
      <c r="V239">
        <v>11</v>
      </c>
      <c r="W239">
        <v>128</v>
      </c>
      <c r="X239">
        <v>0</v>
      </c>
      <c r="Y239">
        <v>0</v>
      </c>
      <c r="Z239">
        <v>612</v>
      </c>
      <c r="AA239">
        <v>1435.34</v>
      </c>
      <c r="AB239">
        <v>65</v>
      </c>
      <c r="AC239">
        <v>1647.04</v>
      </c>
      <c r="AD239">
        <v>273</v>
      </c>
      <c r="AE239">
        <v>429.4</v>
      </c>
      <c r="AH239">
        <v>0</v>
      </c>
      <c r="AJ239">
        <v>1918.99</v>
      </c>
      <c r="AN239">
        <v>6879.86</v>
      </c>
      <c r="AO239">
        <v>40.49</v>
      </c>
      <c r="AP239">
        <v>-11.670000000000982</v>
      </c>
      <c r="AQ239">
        <v>512</v>
      </c>
      <c r="AR239">
        <v>3561.71</v>
      </c>
      <c r="AS239">
        <v>1719</v>
      </c>
      <c r="AT239">
        <v>11970.81</v>
      </c>
      <c r="AU239">
        <v>88</v>
      </c>
      <c r="AV239">
        <v>696.39</v>
      </c>
      <c r="AW239">
        <v>43</v>
      </c>
      <c r="AX239">
        <v>294.57</v>
      </c>
      <c r="AY239">
        <v>375</v>
      </c>
      <c r="AZ239">
        <v>1794.54</v>
      </c>
      <c r="BM239">
        <v>2</v>
      </c>
      <c r="BN239">
        <v>49.49</v>
      </c>
      <c r="BP239">
        <v>30</v>
      </c>
      <c r="BQ239">
        <v>386.33</v>
      </c>
      <c r="BR239">
        <v>255.9</v>
      </c>
      <c r="BS239">
        <v>23964.26</v>
      </c>
      <c r="BV239">
        <v>12.579999999998108</v>
      </c>
      <c r="BW239">
        <v>10</v>
      </c>
      <c r="CA239">
        <v>25</v>
      </c>
      <c r="CB239">
        <v>300.2</v>
      </c>
      <c r="CG239">
        <v>238</v>
      </c>
      <c r="CH239">
        <v>238</v>
      </c>
    </row>
    <row r="240" spans="1:86" x14ac:dyDescent="0.35">
      <c r="A240">
        <v>357150</v>
      </c>
      <c r="B240" s="2">
        <v>44213</v>
      </c>
      <c r="C240" s="2">
        <v>44219</v>
      </c>
      <c r="D240">
        <v>1009</v>
      </c>
      <c r="E240">
        <v>3632.51</v>
      </c>
      <c r="F240">
        <v>10936.389999999998</v>
      </c>
      <c r="G240">
        <v>3179.39</v>
      </c>
      <c r="H240">
        <v>3142.27</v>
      </c>
      <c r="I240">
        <v>594.93999999999994</v>
      </c>
      <c r="J240">
        <v>18952.060000000001</v>
      </c>
      <c r="K240">
        <v>1587.89</v>
      </c>
      <c r="L240">
        <v>3271</v>
      </c>
      <c r="M240">
        <v>1632.8000000000002</v>
      </c>
      <c r="N240">
        <v>19754.010000000002</v>
      </c>
      <c r="O240">
        <v>7</v>
      </c>
      <c r="P240">
        <v>11.86</v>
      </c>
      <c r="R240">
        <v>846.86</v>
      </c>
      <c r="V240">
        <v>15</v>
      </c>
      <c r="W240">
        <v>235</v>
      </c>
      <c r="X240">
        <v>0</v>
      </c>
      <c r="Y240">
        <v>0</v>
      </c>
      <c r="Z240">
        <v>385</v>
      </c>
      <c r="AA240">
        <v>1081.69</v>
      </c>
      <c r="AB240">
        <v>36</v>
      </c>
      <c r="AC240">
        <v>180.57</v>
      </c>
      <c r="AD240">
        <v>126</v>
      </c>
      <c r="AE240">
        <v>539.44000000000005</v>
      </c>
      <c r="AH240">
        <v>0</v>
      </c>
      <c r="AJ240">
        <v>1644.25</v>
      </c>
      <c r="AN240">
        <v>3462</v>
      </c>
      <c r="AO240">
        <v>0</v>
      </c>
      <c r="AP240">
        <v>-2989.76</v>
      </c>
      <c r="AQ240">
        <v>522</v>
      </c>
      <c r="AR240">
        <v>3853.57</v>
      </c>
      <c r="AS240">
        <v>1218</v>
      </c>
      <c r="AT240">
        <v>9218.36</v>
      </c>
      <c r="AU240">
        <v>70</v>
      </c>
      <c r="AV240">
        <v>565.14</v>
      </c>
      <c r="AW240">
        <v>29</v>
      </c>
      <c r="AX240">
        <v>240.92</v>
      </c>
      <c r="AY240">
        <v>383</v>
      </c>
      <c r="AZ240">
        <v>2089.4499999999998</v>
      </c>
      <c r="BS240">
        <v>20539.95</v>
      </c>
      <c r="BV240">
        <v>0</v>
      </c>
      <c r="BW240">
        <v>0</v>
      </c>
      <c r="CG240">
        <v>239</v>
      </c>
      <c r="CH240">
        <v>239</v>
      </c>
    </row>
    <row r="241" spans="1:86" x14ac:dyDescent="0.35">
      <c r="A241">
        <v>359606</v>
      </c>
      <c r="B241" s="2">
        <v>44213</v>
      </c>
      <c r="C241" s="2">
        <v>44219</v>
      </c>
      <c r="D241">
        <v>306</v>
      </c>
      <c r="E241">
        <v>1047.44</v>
      </c>
      <c r="F241">
        <v>3953.0099999999993</v>
      </c>
      <c r="G241">
        <v>1369.7</v>
      </c>
      <c r="H241">
        <v>2454.5</v>
      </c>
      <c r="I241">
        <v>287.17</v>
      </c>
      <c r="J241">
        <v>8218.8200000000033</v>
      </c>
      <c r="K241">
        <v>337.86000000000007</v>
      </c>
      <c r="L241">
        <v>1525</v>
      </c>
      <c r="M241">
        <v>359.06000000000006</v>
      </c>
      <c r="N241">
        <v>8664.6100000000024</v>
      </c>
      <c r="O241">
        <v>1</v>
      </c>
      <c r="P241">
        <v>3.09</v>
      </c>
      <c r="R241">
        <v>466.98999999999995</v>
      </c>
      <c r="V241">
        <v>4</v>
      </c>
      <c r="W241">
        <v>60</v>
      </c>
      <c r="X241">
        <v>0</v>
      </c>
      <c r="Y241">
        <v>0</v>
      </c>
      <c r="Z241">
        <v>152</v>
      </c>
      <c r="AA241">
        <v>334.91</v>
      </c>
      <c r="AB241">
        <v>17</v>
      </c>
      <c r="AC241">
        <v>214.98</v>
      </c>
      <c r="AD241">
        <v>1</v>
      </c>
      <c r="AE241">
        <v>2.59</v>
      </c>
      <c r="AH241">
        <v>0</v>
      </c>
      <c r="AJ241">
        <v>761.25</v>
      </c>
      <c r="AN241">
        <v>1104.5</v>
      </c>
      <c r="AO241">
        <v>4</v>
      </c>
      <c r="AP241">
        <v>-2.0999999999999091</v>
      </c>
      <c r="AQ241">
        <v>178</v>
      </c>
      <c r="AR241">
        <v>1235.05</v>
      </c>
      <c r="AS241">
        <v>706</v>
      </c>
      <c r="AT241">
        <v>4295.09</v>
      </c>
      <c r="AU241">
        <v>119</v>
      </c>
      <c r="AV241">
        <v>773.04</v>
      </c>
      <c r="AW241">
        <v>37</v>
      </c>
      <c r="AX241">
        <v>284.39</v>
      </c>
      <c r="AY241">
        <v>209</v>
      </c>
      <c r="AZ241">
        <v>1160.3599999999999</v>
      </c>
      <c r="BP241">
        <v>16</v>
      </c>
      <c r="BQ241">
        <v>195.23</v>
      </c>
      <c r="BR241">
        <v>179.28</v>
      </c>
      <c r="BS241">
        <v>8544.02</v>
      </c>
      <c r="BV241">
        <v>66.639999999999418</v>
      </c>
      <c r="BW241">
        <v>66.64</v>
      </c>
      <c r="CA241">
        <v>24</v>
      </c>
      <c r="CB241">
        <v>292.60000000000002</v>
      </c>
      <c r="CE241">
        <v>1</v>
      </c>
      <c r="CF241">
        <v>31.57</v>
      </c>
      <c r="CG241">
        <v>240</v>
      </c>
      <c r="CH241">
        <v>240</v>
      </c>
    </row>
    <row r="242" spans="1:86" x14ac:dyDescent="0.35">
      <c r="A242">
        <v>358682</v>
      </c>
      <c r="B242" s="2">
        <v>44213</v>
      </c>
      <c r="C242" s="2">
        <v>44219</v>
      </c>
      <c r="D242">
        <v>494</v>
      </c>
      <c r="E242">
        <v>1745.26</v>
      </c>
      <c r="F242">
        <v>6834.03</v>
      </c>
      <c r="G242">
        <v>1548.34</v>
      </c>
      <c r="H242">
        <v>4601.0200000000004</v>
      </c>
      <c r="I242">
        <v>494.8</v>
      </c>
      <c r="J242">
        <v>13682.170000000002</v>
      </c>
      <c r="K242">
        <v>566.81000000000006</v>
      </c>
      <c r="L242">
        <v>2257</v>
      </c>
      <c r="M242">
        <v>601.32000000000005</v>
      </c>
      <c r="N242">
        <v>14488.560000000001</v>
      </c>
      <c r="O242">
        <v>8</v>
      </c>
      <c r="P242">
        <v>13.16</v>
      </c>
      <c r="R242">
        <v>840.9</v>
      </c>
      <c r="V242">
        <v>21</v>
      </c>
      <c r="W242">
        <v>140</v>
      </c>
      <c r="X242">
        <v>0</v>
      </c>
      <c r="Y242">
        <v>0</v>
      </c>
      <c r="Z242">
        <v>290</v>
      </c>
      <c r="AA242">
        <v>1749.77</v>
      </c>
      <c r="AB242">
        <v>52</v>
      </c>
      <c r="AC242">
        <v>434.49</v>
      </c>
      <c r="AD242">
        <v>108</v>
      </c>
      <c r="AE242">
        <v>136.80000000000001</v>
      </c>
      <c r="AH242">
        <v>0</v>
      </c>
      <c r="AJ242">
        <v>1265.57</v>
      </c>
      <c r="AN242">
        <v>2486.0100000000002</v>
      </c>
      <c r="AO242">
        <v>0</v>
      </c>
      <c r="AP242">
        <v>26.930000000000291</v>
      </c>
      <c r="AQ242">
        <v>291</v>
      </c>
      <c r="AR242">
        <v>2143.34</v>
      </c>
      <c r="AS242">
        <v>964</v>
      </c>
      <c r="AT242">
        <v>6814.78</v>
      </c>
      <c r="AU242">
        <v>152</v>
      </c>
      <c r="AV242">
        <v>1218.3699999999999</v>
      </c>
      <c r="AW242">
        <v>58</v>
      </c>
      <c r="AX242">
        <v>369.59</v>
      </c>
      <c r="AY242">
        <v>290</v>
      </c>
      <c r="AZ242">
        <v>1458.16</v>
      </c>
      <c r="BM242">
        <v>5</v>
      </c>
      <c r="BN242">
        <v>94.44</v>
      </c>
      <c r="BP242">
        <v>70</v>
      </c>
      <c r="BQ242">
        <v>811.02</v>
      </c>
      <c r="BR242">
        <v>736</v>
      </c>
      <c r="BS242">
        <v>14248.98</v>
      </c>
      <c r="BV242">
        <v>-7.6599999999998545</v>
      </c>
      <c r="BW242">
        <v>-7.66</v>
      </c>
      <c r="CA242">
        <v>21</v>
      </c>
      <c r="CB242">
        <v>284.47000000000003</v>
      </c>
      <c r="CG242">
        <v>241</v>
      </c>
      <c r="CH242">
        <v>241</v>
      </c>
    </row>
    <row r="243" spans="1:86" x14ac:dyDescent="0.35">
      <c r="A243">
        <v>350432</v>
      </c>
      <c r="B243" s="2">
        <v>44217</v>
      </c>
      <c r="C243" s="2">
        <v>44217</v>
      </c>
      <c r="D243">
        <v>157</v>
      </c>
      <c r="E243" s="1">
        <v>518.35</v>
      </c>
      <c r="F243" s="1">
        <v>1954.98</v>
      </c>
      <c r="G243" s="1">
        <v>543.94000000000005</v>
      </c>
      <c r="H243" s="1">
        <v>982.58</v>
      </c>
      <c r="I243" s="1">
        <v>137.4</v>
      </c>
      <c r="J243" s="1">
        <v>3928.23</v>
      </c>
      <c r="K243" s="1">
        <v>440.9</v>
      </c>
      <c r="L243">
        <v>742</v>
      </c>
      <c r="M243" s="1">
        <v>443.09</v>
      </c>
      <c r="N243" s="1">
        <v>4088.97</v>
      </c>
      <c r="O243">
        <v>2</v>
      </c>
      <c r="P243" s="1">
        <v>10.85</v>
      </c>
      <c r="Q243">
        <v>10</v>
      </c>
      <c r="R243" s="1">
        <v>8.42</v>
      </c>
      <c r="S243">
        <v>53</v>
      </c>
      <c r="T243" s="1">
        <v>81.290000000000006</v>
      </c>
      <c r="U243" s="1">
        <v>62.37</v>
      </c>
      <c r="V243">
        <v>1</v>
      </c>
      <c r="W243" s="1">
        <v>25</v>
      </c>
      <c r="X243">
        <v>13</v>
      </c>
      <c r="Y243" s="1">
        <v>0</v>
      </c>
      <c r="Z243">
        <v>95</v>
      </c>
      <c r="AA243" s="1">
        <v>276.19</v>
      </c>
      <c r="AB243">
        <v>19</v>
      </c>
      <c r="AC243" s="1">
        <v>51.36</v>
      </c>
      <c r="AD243">
        <v>1</v>
      </c>
      <c r="AE243" s="1">
        <v>2.93</v>
      </c>
      <c r="AF243" s="1">
        <v>0</v>
      </c>
      <c r="AG243" s="1">
        <v>0</v>
      </c>
      <c r="AH243" s="1">
        <v>0</v>
      </c>
      <c r="AI243" s="1">
        <v>0</v>
      </c>
      <c r="AJ243" s="1">
        <v>388.55</v>
      </c>
      <c r="AL243" s="1">
        <v>4369.13</v>
      </c>
      <c r="AM243" s="1">
        <v>0</v>
      </c>
      <c r="AN243" s="1">
        <v>806</v>
      </c>
      <c r="AO243" s="1">
        <v>8.57</v>
      </c>
      <c r="AP243" s="1">
        <v>5.47</v>
      </c>
      <c r="AQ243">
        <v>79</v>
      </c>
      <c r="AR243" s="1">
        <v>503.93</v>
      </c>
      <c r="AS243">
        <v>338</v>
      </c>
      <c r="AT243" s="1">
        <v>2218.65</v>
      </c>
      <c r="AU243">
        <v>27</v>
      </c>
      <c r="AV243" s="1">
        <v>348.28</v>
      </c>
      <c r="AW243">
        <v>5</v>
      </c>
      <c r="AX243" s="1">
        <v>32.65</v>
      </c>
      <c r="AY243">
        <v>68</v>
      </c>
      <c r="AZ243" s="1">
        <v>358.68</v>
      </c>
      <c r="BA243">
        <v>1</v>
      </c>
      <c r="BB243" s="1">
        <v>5.22</v>
      </c>
      <c r="BC243">
        <v>2</v>
      </c>
      <c r="BD243" s="1">
        <v>12.46</v>
      </c>
      <c r="BE243">
        <v>12</v>
      </c>
      <c r="BF243" s="1">
        <v>110.21</v>
      </c>
      <c r="BG243">
        <v>5</v>
      </c>
      <c r="BH243" s="1">
        <v>17.68</v>
      </c>
      <c r="BI243">
        <v>3</v>
      </c>
      <c r="BJ243" s="1">
        <v>72.92</v>
      </c>
      <c r="BK243">
        <v>9</v>
      </c>
      <c r="BL243" s="1">
        <v>59.08</v>
      </c>
      <c r="BP243">
        <v>16</v>
      </c>
      <c r="BQ243" s="1">
        <v>166.37</v>
      </c>
      <c r="BR243" s="1">
        <v>152.79</v>
      </c>
      <c r="BZ243">
        <v>1</v>
      </c>
      <c r="CA243">
        <v>5</v>
      </c>
      <c r="CB243" s="1">
        <v>67.45</v>
      </c>
      <c r="CG243">
        <v>242</v>
      </c>
      <c r="CH243">
        <v>242</v>
      </c>
    </row>
    <row r="244" spans="1:86" x14ac:dyDescent="0.35">
      <c r="A244">
        <v>350437</v>
      </c>
      <c r="B244" s="2">
        <v>44217</v>
      </c>
      <c r="C244" s="2">
        <v>44217</v>
      </c>
      <c r="D244">
        <v>101</v>
      </c>
      <c r="E244" s="1">
        <v>327.78</v>
      </c>
      <c r="F244" s="1">
        <v>1133.77</v>
      </c>
      <c r="G244" s="1">
        <v>383.03</v>
      </c>
      <c r="H244" s="1">
        <v>578.97</v>
      </c>
      <c r="I244" s="1">
        <v>79.8</v>
      </c>
      <c r="J244" s="1">
        <v>2302.6799999999998</v>
      </c>
      <c r="K244" s="1">
        <v>0</v>
      </c>
      <c r="L244">
        <v>438</v>
      </c>
      <c r="M244" s="1">
        <v>0</v>
      </c>
      <c r="N244" s="1">
        <v>2384.48</v>
      </c>
      <c r="O244">
        <v>0</v>
      </c>
      <c r="P244" s="1">
        <v>0</v>
      </c>
      <c r="Q244">
        <v>5</v>
      </c>
      <c r="R244" s="1">
        <v>0.86</v>
      </c>
      <c r="S244">
        <v>23</v>
      </c>
      <c r="T244" s="1">
        <v>47.1</v>
      </c>
      <c r="U244" s="1">
        <v>33.840000000000003</v>
      </c>
      <c r="V244">
        <v>1</v>
      </c>
      <c r="W244" s="1">
        <v>10</v>
      </c>
      <c r="X244">
        <v>7</v>
      </c>
      <c r="Y244" s="1">
        <v>0</v>
      </c>
      <c r="Z244">
        <v>52</v>
      </c>
      <c r="AA244" s="1">
        <v>155.91999999999999</v>
      </c>
      <c r="AB244">
        <v>5</v>
      </c>
      <c r="AC244" s="1">
        <v>10.65</v>
      </c>
      <c r="AD244">
        <v>1</v>
      </c>
      <c r="AE244" s="1">
        <v>0</v>
      </c>
      <c r="AF244" s="1">
        <v>2</v>
      </c>
      <c r="AG244" s="1">
        <v>2</v>
      </c>
      <c r="AH244" s="1">
        <v>0</v>
      </c>
      <c r="AI244" s="1">
        <v>0</v>
      </c>
      <c r="AJ244" s="1">
        <v>204.86</v>
      </c>
      <c r="AL244" s="1">
        <v>2302.6799999999998</v>
      </c>
      <c r="AM244" s="1">
        <v>2</v>
      </c>
      <c r="AN244" s="1">
        <v>296</v>
      </c>
      <c r="AO244" s="1">
        <v>101</v>
      </c>
      <c r="AP244" s="1">
        <v>2.33</v>
      </c>
      <c r="AQ244">
        <v>56</v>
      </c>
      <c r="AR244" s="1">
        <v>360.22</v>
      </c>
      <c r="AS244">
        <v>191</v>
      </c>
      <c r="AT244" s="1">
        <v>1198.1099999999999</v>
      </c>
      <c r="AU244">
        <v>28</v>
      </c>
      <c r="AV244" s="1">
        <v>131.97999999999999</v>
      </c>
      <c r="AW244">
        <v>7</v>
      </c>
      <c r="AX244" s="1">
        <v>42.1</v>
      </c>
      <c r="AY244">
        <v>44</v>
      </c>
      <c r="AZ244" s="1">
        <v>203.96</v>
      </c>
      <c r="BE244">
        <v>13</v>
      </c>
      <c r="BF244" s="1">
        <v>67.959999999999994</v>
      </c>
      <c r="BK244">
        <v>6</v>
      </c>
      <c r="BL244" s="1">
        <v>46.99</v>
      </c>
      <c r="BP244">
        <v>6</v>
      </c>
      <c r="BQ244" s="1">
        <v>67.92</v>
      </c>
      <c r="BR244" s="1">
        <v>47.41</v>
      </c>
      <c r="BZ244">
        <v>1</v>
      </c>
      <c r="CA244">
        <v>1</v>
      </c>
      <c r="CB244" s="1">
        <v>5.63</v>
      </c>
      <c r="CG244">
        <v>243</v>
      </c>
      <c r="CH244">
        <v>243</v>
      </c>
    </row>
    <row r="245" spans="1:86" x14ac:dyDescent="0.35">
      <c r="A245">
        <v>351323</v>
      </c>
      <c r="B245" s="2">
        <v>44217</v>
      </c>
      <c r="C245" s="2">
        <v>44217</v>
      </c>
      <c r="D245">
        <v>107</v>
      </c>
      <c r="E245" s="1">
        <v>367.47</v>
      </c>
      <c r="F245" s="1">
        <v>1486.8</v>
      </c>
      <c r="G245" s="1">
        <v>417.19</v>
      </c>
      <c r="H245" s="1">
        <v>772.9</v>
      </c>
      <c r="I245" s="1">
        <v>74.84</v>
      </c>
      <c r="J245" s="1">
        <v>2971.48</v>
      </c>
      <c r="K245" s="1">
        <v>274.27</v>
      </c>
      <c r="L245">
        <v>598</v>
      </c>
      <c r="M245" s="1">
        <v>276.45999999999998</v>
      </c>
      <c r="N245" s="1">
        <v>3094.09</v>
      </c>
      <c r="O245">
        <v>0</v>
      </c>
      <c r="P245" s="1">
        <v>0</v>
      </c>
      <c r="Q245">
        <v>5</v>
      </c>
      <c r="R245" s="1">
        <v>0.74</v>
      </c>
      <c r="S245">
        <v>49</v>
      </c>
      <c r="T245" s="1">
        <v>79.91</v>
      </c>
      <c r="U245" s="1">
        <v>44.15</v>
      </c>
      <c r="V245">
        <v>0</v>
      </c>
      <c r="W245" s="1">
        <v>0</v>
      </c>
      <c r="X245">
        <v>25</v>
      </c>
      <c r="Y245" s="1">
        <v>0</v>
      </c>
      <c r="Z245">
        <v>83</v>
      </c>
      <c r="AA245" s="1">
        <v>241.32</v>
      </c>
      <c r="AB245">
        <v>17</v>
      </c>
      <c r="AC245" s="1">
        <v>54.64</v>
      </c>
      <c r="AD245">
        <v>4</v>
      </c>
      <c r="AE245" s="1">
        <v>0</v>
      </c>
      <c r="AF245" s="1">
        <v>0</v>
      </c>
      <c r="AG245" s="1">
        <v>0</v>
      </c>
      <c r="AH245" s="1">
        <v>0</v>
      </c>
      <c r="AI245" s="1">
        <v>0</v>
      </c>
      <c r="AJ245" s="1">
        <v>194.61</v>
      </c>
      <c r="AL245" s="1">
        <v>3245.75</v>
      </c>
      <c r="AM245" s="1">
        <v>0</v>
      </c>
      <c r="AN245" s="1">
        <v>645.03</v>
      </c>
      <c r="AO245" s="1">
        <v>4.8</v>
      </c>
      <c r="AP245" s="1">
        <v>-0.03</v>
      </c>
      <c r="AQ245">
        <v>87</v>
      </c>
      <c r="AR245" s="1">
        <v>597.4</v>
      </c>
      <c r="AS245">
        <v>257</v>
      </c>
      <c r="AT245" s="1">
        <v>1598.19</v>
      </c>
      <c r="AU245">
        <v>14</v>
      </c>
      <c r="AV245" s="1">
        <v>100.54</v>
      </c>
      <c r="AW245">
        <v>4</v>
      </c>
      <c r="AX245" s="1">
        <v>24.81</v>
      </c>
      <c r="AY245">
        <v>61</v>
      </c>
      <c r="AZ245" s="1">
        <v>245.62</v>
      </c>
      <c r="BA245">
        <v>2</v>
      </c>
      <c r="BB245" s="1">
        <v>25.68</v>
      </c>
      <c r="BE245">
        <v>8</v>
      </c>
      <c r="BF245" s="1">
        <v>39.369999999999997</v>
      </c>
      <c r="BG245">
        <v>2</v>
      </c>
      <c r="BH245" s="1">
        <v>17.82</v>
      </c>
      <c r="BK245">
        <v>6</v>
      </c>
      <c r="BL245" s="1">
        <v>49.59</v>
      </c>
      <c r="BP245">
        <v>5</v>
      </c>
      <c r="BQ245" s="1">
        <v>72.040000000000006</v>
      </c>
      <c r="BR245" s="1">
        <v>67.959999999999994</v>
      </c>
      <c r="BZ245">
        <v>1</v>
      </c>
      <c r="CA245">
        <v>3</v>
      </c>
      <c r="CB245" s="1">
        <v>19.440000000000001</v>
      </c>
      <c r="CG245">
        <v>244</v>
      </c>
      <c r="CH245">
        <v>244</v>
      </c>
    </row>
    <row r="246" spans="1:86" x14ac:dyDescent="0.35">
      <c r="A246">
        <v>353927</v>
      </c>
      <c r="B246" s="2">
        <v>44217</v>
      </c>
      <c r="C246" s="2">
        <v>44217</v>
      </c>
      <c r="D246">
        <v>148</v>
      </c>
      <c r="E246" s="1">
        <v>500.07</v>
      </c>
      <c r="F246" s="1">
        <v>1730.23</v>
      </c>
      <c r="G246" s="1">
        <v>582.99</v>
      </c>
      <c r="H246" s="1">
        <v>762.45</v>
      </c>
      <c r="I246" s="1">
        <v>138.35</v>
      </c>
      <c r="J246" s="1">
        <v>3439.78</v>
      </c>
      <c r="K246" s="1">
        <v>0</v>
      </c>
      <c r="L246">
        <v>608</v>
      </c>
      <c r="M246" s="1">
        <v>0</v>
      </c>
      <c r="N246" s="1">
        <v>3616.06</v>
      </c>
      <c r="O246">
        <v>2</v>
      </c>
      <c r="P246" s="1">
        <v>5.87</v>
      </c>
      <c r="Q246">
        <v>4</v>
      </c>
      <c r="R246" s="1">
        <v>0.7</v>
      </c>
      <c r="S246">
        <v>57</v>
      </c>
      <c r="T246" s="1">
        <v>107.97</v>
      </c>
      <c r="U246" s="1">
        <v>61.74</v>
      </c>
      <c r="V246">
        <v>1</v>
      </c>
      <c r="W246" s="1">
        <v>10</v>
      </c>
      <c r="X246">
        <v>17</v>
      </c>
      <c r="Y246" s="1">
        <v>0</v>
      </c>
      <c r="Z246">
        <v>86</v>
      </c>
      <c r="AA246" s="1">
        <v>234.72</v>
      </c>
      <c r="AB246">
        <v>7</v>
      </c>
      <c r="AC246" s="1">
        <v>23.83</v>
      </c>
      <c r="AD246">
        <v>5</v>
      </c>
      <c r="AE246" s="1">
        <v>0</v>
      </c>
      <c r="AF246" s="1">
        <v>0</v>
      </c>
      <c r="AG246" s="1">
        <v>0</v>
      </c>
      <c r="AH246" s="1">
        <v>0</v>
      </c>
      <c r="AI246" s="1">
        <v>0</v>
      </c>
      <c r="AJ246" s="1">
        <v>206.15</v>
      </c>
      <c r="AL246" s="1">
        <v>3439.78</v>
      </c>
      <c r="AM246" s="1">
        <v>0</v>
      </c>
      <c r="AN246" s="1">
        <v>678</v>
      </c>
      <c r="AO246" s="1">
        <v>0</v>
      </c>
      <c r="AP246" s="1">
        <v>-1.83</v>
      </c>
      <c r="AQ246">
        <v>90</v>
      </c>
      <c r="AR246" s="1">
        <v>584.64</v>
      </c>
      <c r="AS246">
        <v>248</v>
      </c>
      <c r="AT246" s="1">
        <v>1555.61</v>
      </c>
      <c r="AU246">
        <v>7</v>
      </c>
      <c r="AV246" s="1">
        <v>52.89</v>
      </c>
      <c r="AW246">
        <v>5</v>
      </c>
      <c r="AX246" s="1">
        <v>36.75</v>
      </c>
      <c r="AY246">
        <v>57</v>
      </c>
      <c r="AZ246" s="1">
        <v>262.77999999999997</v>
      </c>
      <c r="BC246">
        <v>1</v>
      </c>
      <c r="BD246" s="1">
        <v>3.17</v>
      </c>
      <c r="BE246">
        <v>14</v>
      </c>
      <c r="BF246" s="1">
        <v>53.67</v>
      </c>
      <c r="BG246">
        <v>6</v>
      </c>
      <c r="BH246" s="1">
        <v>84.21</v>
      </c>
      <c r="BK246">
        <v>9</v>
      </c>
      <c r="BL246" s="1">
        <v>59.3</v>
      </c>
      <c r="BM246">
        <v>2</v>
      </c>
      <c r="BN246" s="1">
        <v>14.46</v>
      </c>
      <c r="BO246" s="1">
        <v>13.64</v>
      </c>
      <c r="BP246">
        <v>12</v>
      </c>
      <c r="BQ246" s="1">
        <v>192.92</v>
      </c>
      <c r="BR246" s="1">
        <v>167.7</v>
      </c>
      <c r="BZ246">
        <v>1</v>
      </c>
      <c r="CA246">
        <v>5</v>
      </c>
      <c r="CB246" s="1">
        <v>75.7</v>
      </c>
      <c r="CG246">
        <v>245</v>
      </c>
      <c r="CH246">
        <v>245</v>
      </c>
    </row>
    <row r="247" spans="1:86" x14ac:dyDescent="0.35">
      <c r="A247">
        <v>354030</v>
      </c>
      <c r="B247" s="2">
        <v>44217</v>
      </c>
      <c r="C247" s="2">
        <v>44217</v>
      </c>
      <c r="D247">
        <v>123</v>
      </c>
      <c r="E247" s="1">
        <v>384.61</v>
      </c>
      <c r="F247" s="1">
        <v>1367.84</v>
      </c>
      <c r="G247" s="1">
        <v>571.09</v>
      </c>
      <c r="H247" s="1">
        <v>480.05</v>
      </c>
      <c r="I247" s="1">
        <v>97.48</v>
      </c>
      <c r="J247" s="1">
        <v>2643.12</v>
      </c>
      <c r="K247" s="1">
        <v>152.13999999999999</v>
      </c>
      <c r="L247">
        <v>455</v>
      </c>
      <c r="M247" s="1">
        <v>154.33000000000001</v>
      </c>
      <c r="N247" s="1">
        <v>2733.71</v>
      </c>
      <c r="O247">
        <v>0</v>
      </c>
      <c r="P247" s="1">
        <v>0</v>
      </c>
      <c r="Q247">
        <v>5</v>
      </c>
      <c r="R247" s="1">
        <v>0.91</v>
      </c>
      <c r="S247">
        <v>29</v>
      </c>
      <c r="T247" s="1">
        <v>55.3</v>
      </c>
      <c r="U247" s="1">
        <v>36.57</v>
      </c>
      <c r="V247">
        <v>0</v>
      </c>
      <c r="W247" s="1">
        <v>0</v>
      </c>
      <c r="X247">
        <v>10</v>
      </c>
      <c r="Y247" s="1">
        <v>0</v>
      </c>
      <c r="Z247">
        <v>39</v>
      </c>
      <c r="AA247" s="1">
        <v>105.81</v>
      </c>
      <c r="AB247">
        <v>2</v>
      </c>
      <c r="AC247" s="1">
        <v>3.88</v>
      </c>
      <c r="AD247">
        <v>3</v>
      </c>
      <c r="AE247" s="1">
        <v>23.49</v>
      </c>
      <c r="AF247" s="1">
        <v>0</v>
      </c>
      <c r="AG247" s="1">
        <v>0</v>
      </c>
      <c r="AH247" s="1">
        <v>0</v>
      </c>
      <c r="AI247" s="1">
        <v>0</v>
      </c>
      <c r="AJ247" s="1">
        <v>167.65</v>
      </c>
      <c r="AL247" s="1">
        <v>2795.26</v>
      </c>
      <c r="AM247" s="1">
        <v>0</v>
      </c>
      <c r="AN247" s="1">
        <v>438</v>
      </c>
      <c r="AO247" s="1">
        <v>0</v>
      </c>
      <c r="AP247" s="1">
        <v>-0.82</v>
      </c>
      <c r="AQ247">
        <v>55</v>
      </c>
      <c r="AR247" s="1">
        <v>374.24</v>
      </c>
      <c r="AS247">
        <v>207</v>
      </c>
      <c r="AT247" s="1">
        <v>1449.42</v>
      </c>
      <c r="AU247">
        <v>14</v>
      </c>
      <c r="AV247" s="1">
        <v>98.88</v>
      </c>
      <c r="AW247">
        <v>2</v>
      </c>
      <c r="AX247" s="1">
        <v>22.17</v>
      </c>
      <c r="AY247">
        <v>59</v>
      </c>
      <c r="AZ247" s="1">
        <v>325.23</v>
      </c>
      <c r="BE247">
        <v>16</v>
      </c>
      <c r="BF247" s="1">
        <v>79.650000000000006</v>
      </c>
      <c r="BG247">
        <v>1</v>
      </c>
      <c r="BH247" s="1">
        <v>5.34</v>
      </c>
      <c r="BK247">
        <v>8</v>
      </c>
      <c r="BL247" s="1">
        <v>49.58</v>
      </c>
      <c r="BP247">
        <v>5</v>
      </c>
      <c r="BQ247" s="1">
        <v>43.06</v>
      </c>
      <c r="BR247" s="1">
        <v>37.94</v>
      </c>
      <c r="BZ247">
        <v>1</v>
      </c>
      <c r="CA247">
        <v>5</v>
      </c>
      <c r="CB247" s="1">
        <v>76.52</v>
      </c>
      <c r="CG247">
        <v>246</v>
      </c>
      <c r="CH247">
        <v>246</v>
      </c>
    </row>
    <row r="248" spans="1:86" x14ac:dyDescent="0.35">
      <c r="A248">
        <v>355439</v>
      </c>
      <c r="B248" s="2">
        <v>44217</v>
      </c>
      <c r="C248" s="2">
        <v>44217</v>
      </c>
      <c r="D248">
        <v>175</v>
      </c>
      <c r="E248" s="1">
        <v>584.86</v>
      </c>
      <c r="F248" s="1">
        <v>1834.66</v>
      </c>
      <c r="G248" s="1">
        <v>804.93</v>
      </c>
      <c r="H248" s="1">
        <v>793.96</v>
      </c>
      <c r="I248" s="1">
        <v>96.68</v>
      </c>
      <c r="J248" s="1">
        <v>3801.62</v>
      </c>
      <c r="K248" s="1">
        <v>0</v>
      </c>
      <c r="L248">
        <v>697</v>
      </c>
      <c r="M248" s="1">
        <v>0</v>
      </c>
      <c r="N248" s="1">
        <v>3911.19</v>
      </c>
      <c r="O248">
        <v>1</v>
      </c>
      <c r="P248" s="1">
        <v>2.19</v>
      </c>
      <c r="Q248">
        <v>4</v>
      </c>
      <c r="R248" s="1">
        <v>3.76</v>
      </c>
      <c r="S248">
        <v>38</v>
      </c>
      <c r="T248" s="1">
        <v>75.94</v>
      </c>
      <c r="U248" s="1">
        <v>27.68</v>
      </c>
      <c r="V248">
        <v>1</v>
      </c>
      <c r="W248" s="1">
        <v>15</v>
      </c>
      <c r="X248">
        <v>17</v>
      </c>
      <c r="Y248" s="1">
        <v>0</v>
      </c>
      <c r="Z248">
        <v>107</v>
      </c>
      <c r="AA248" s="1">
        <v>367.58</v>
      </c>
      <c r="AB248">
        <v>9</v>
      </c>
      <c r="AC248" s="1">
        <v>18.98</v>
      </c>
      <c r="AD248">
        <v>3</v>
      </c>
      <c r="AE248" s="1">
        <v>5.7</v>
      </c>
      <c r="AF248" s="1">
        <v>0.1</v>
      </c>
      <c r="AG248" s="1">
        <v>0</v>
      </c>
      <c r="AH248" s="1">
        <v>0</v>
      </c>
      <c r="AI248" s="1">
        <v>0</v>
      </c>
      <c r="AJ248" s="1">
        <v>304.5</v>
      </c>
      <c r="AL248" s="1">
        <v>3801.72</v>
      </c>
      <c r="AM248" s="1">
        <v>0</v>
      </c>
      <c r="AN248" s="1">
        <v>665</v>
      </c>
      <c r="AO248" s="1">
        <v>0</v>
      </c>
      <c r="AP248" s="1">
        <v>1.48</v>
      </c>
      <c r="AQ248">
        <v>109</v>
      </c>
      <c r="AR248" s="1">
        <v>800.58</v>
      </c>
      <c r="AS248">
        <v>280</v>
      </c>
      <c r="AT248" s="1">
        <v>1720.28</v>
      </c>
      <c r="AU248">
        <v>32</v>
      </c>
      <c r="AV248" s="1">
        <v>248.44</v>
      </c>
      <c r="AW248">
        <v>8</v>
      </c>
      <c r="AX248" s="1">
        <v>41.18</v>
      </c>
      <c r="AY248">
        <v>59</v>
      </c>
      <c r="AZ248" s="1">
        <v>261.39</v>
      </c>
      <c r="BA248">
        <v>3</v>
      </c>
      <c r="BB248" s="1">
        <v>18.690000000000001</v>
      </c>
      <c r="BC248">
        <v>3</v>
      </c>
      <c r="BD248" s="1">
        <v>73.72</v>
      </c>
      <c r="BE248">
        <v>17</v>
      </c>
      <c r="BF248" s="1">
        <v>79.27</v>
      </c>
      <c r="BG248">
        <v>5</v>
      </c>
      <c r="BH248" s="1">
        <v>22.2</v>
      </c>
      <c r="BK248">
        <v>10</v>
      </c>
      <c r="BL248" s="1">
        <v>99.41</v>
      </c>
      <c r="BM248">
        <v>2</v>
      </c>
      <c r="BN248" s="1">
        <v>21.97</v>
      </c>
      <c r="BO248" s="1">
        <v>20.34</v>
      </c>
      <c r="BP248">
        <v>1</v>
      </c>
      <c r="BQ248" s="1">
        <v>9.8000000000000007</v>
      </c>
      <c r="BR248" s="1">
        <v>9.07</v>
      </c>
      <c r="BZ248">
        <v>1</v>
      </c>
      <c r="CA248">
        <v>7</v>
      </c>
      <c r="CB248" s="1">
        <v>60.77</v>
      </c>
      <c r="CG248">
        <v>247</v>
      </c>
      <c r="CH248">
        <v>247</v>
      </c>
    </row>
    <row r="249" spans="1:86" x14ac:dyDescent="0.35">
      <c r="A249">
        <v>350432</v>
      </c>
      <c r="B249" s="2">
        <v>44218</v>
      </c>
      <c r="C249" s="2">
        <v>44218</v>
      </c>
      <c r="D249">
        <v>200</v>
      </c>
      <c r="E249" s="1">
        <v>627.54</v>
      </c>
      <c r="F249" s="1">
        <v>2078.0700000000002</v>
      </c>
      <c r="G249" s="1">
        <v>623.42999999999995</v>
      </c>
      <c r="H249" s="1">
        <v>978.6</v>
      </c>
      <c r="I249" s="1">
        <v>160.97</v>
      </c>
      <c r="J249" s="1">
        <v>4103.32</v>
      </c>
      <c r="K249" s="1">
        <v>444.63</v>
      </c>
      <c r="L249">
        <v>817</v>
      </c>
      <c r="M249" s="1">
        <v>447.03</v>
      </c>
      <c r="N249" s="1">
        <v>4283.7</v>
      </c>
      <c r="O249">
        <v>1</v>
      </c>
      <c r="P249" s="1">
        <v>1.89</v>
      </c>
      <c r="Q249">
        <v>12</v>
      </c>
      <c r="R249" s="1">
        <v>9</v>
      </c>
      <c r="S249">
        <v>58</v>
      </c>
      <c r="T249" s="1">
        <v>117.42</v>
      </c>
      <c r="U249" s="1">
        <v>54.47</v>
      </c>
      <c r="V249">
        <v>0</v>
      </c>
      <c r="W249" s="1">
        <v>0</v>
      </c>
      <c r="X249">
        <v>29</v>
      </c>
      <c r="Y249" s="1">
        <v>0</v>
      </c>
      <c r="Z249">
        <v>128</v>
      </c>
      <c r="AA249" s="1">
        <v>483.4</v>
      </c>
      <c r="AB249">
        <v>18</v>
      </c>
      <c r="AC249" s="1">
        <v>55.71</v>
      </c>
      <c r="AD249">
        <v>3</v>
      </c>
      <c r="AE249" s="1">
        <v>8.89</v>
      </c>
      <c r="AF249" s="1">
        <v>0</v>
      </c>
      <c r="AG249" s="1">
        <v>0</v>
      </c>
      <c r="AH249" s="1">
        <v>0</v>
      </c>
      <c r="AI249" s="1">
        <v>0</v>
      </c>
      <c r="AJ249" s="1">
        <v>404.41</v>
      </c>
      <c r="AL249" s="1">
        <v>4547.95</v>
      </c>
      <c r="AM249" s="1">
        <v>0</v>
      </c>
      <c r="AN249" s="1">
        <v>770</v>
      </c>
      <c r="AO249" s="1">
        <v>58</v>
      </c>
      <c r="AP249" s="1">
        <v>2.29</v>
      </c>
      <c r="AQ249">
        <v>103</v>
      </c>
      <c r="AR249" s="1">
        <v>684.87</v>
      </c>
      <c r="AS249">
        <v>351</v>
      </c>
      <c r="AT249" s="1">
        <v>2487.21</v>
      </c>
      <c r="AU249">
        <v>43</v>
      </c>
      <c r="AV249" s="1">
        <v>290.45999999999998</v>
      </c>
      <c r="AW249">
        <v>7</v>
      </c>
      <c r="AX249" s="1">
        <v>31.88</v>
      </c>
      <c r="AY249">
        <v>71</v>
      </c>
      <c r="AZ249" s="1">
        <v>287.95</v>
      </c>
      <c r="BA249">
        <v>1</v>
      </c>
      <c r="BB249" s="1">
        <v>2.6</v>
      </c>
      <c r="BC249">
        <v>3</v>
      </c>
      <c r="BD249" s="1">
        <v>7.71</v>
      </c>
      <c r="BE249">
        <v>25</v>
      </c>
      <c r="BF249" s="1">
        <v>135.27000000000001</v>
      </c>
      <c r="BG249">
        <v>2</v>
      </c>
      <c r="BH249" s="1">
        <v>7.49</v>
      </c>
      <c r="BK249">
        <v>5</v>
      </c>
      <c r="BL249" s="1">
        <v>28.16</v>
      </c>
      <c r="BP249">
        <v>11</v>
      </c>
      <c r="BQ249" s="1">
        <v>146.88999999999999</v>
      </c>
      <c r="BR249" s="1">
        <v>134.88999999999999</v>
      </c>
      <c r="BZ249">
        <v>1</v>
      </c>
      <c r="CA249">
        <v>2</v>
      </c>
      <c r="CB249" s="1">
        <v>16.16</v>
      </c>
      <c r="CG249">
        <v>248</v>
      </c>
      <c r="CH249">
        <v>248</v>
      </c>
    </row>
    <row r="250" spans="1:86" x14ac:dyDescent="0.35">
      <c r="A250">
        <v>350437</v>
      </c>
      <c r="B250" s="2">
        <v>44218</v>
      </c>
      <c r="C250" s="2">
        <v>44218</v>
      </c>
      <c r="D250">
        <v>100</v>
      </c>
      <c r="E250" s="1">
        <v>349.31</v>
      </c>
      <c r="F250" s="1">
        <v>1292.6400000000001</v>
      </c>
      <c r="G250" s="1">
        <v>616.6</v>
      </c>
      <c r="H250" s="1">
        <v>663.92</v>
      </c>
      <c r="I250" s="1">
        <v>85.26</v>
      </c>
      <c r="J250" s="1">
        <v>2839.82</v>
      </c>
      <c r="K250" s="1">
        <v>0</v>
      </c>
      <c r="L250">
        <v>521</v>
      </c>
      <c r="M250" s="1">
        <v>0</v>
      </c>
      <c r="N250" s="1">
        <v>2920.59</v>
      </c>
      <c r="O250">
        <v>2</v>
      </c>
      <c r="P250" s="1">
        <v>9.18</v>
      </c>
      <c r="Q250">
        <v>5</v>
      </c>
      <c r="R250" s="1">
        <v>4.13</v>
      </c>
      <c r="S250">
        <v>23</v>
      </c>
      <c r="T250" s="1">
        <v>38.31</v>
      </c>
      <c r="U250" s="1">
        <v>29.15</v>
      </c>
      <c r="V250">
        <v>0</v>
      </c>
      <c r="W250" s="1">
        <v>0</v>
      </c>
      <c r="X250">
        <v>10</v>
      </c>
      <c r="Y250" s="1">
        <v>0</v>
      </c>
      <c r="Z250">
        <v>85</v>
      </c>
      <c r="AA250" s="1">
        <v>216.98</v>
      </c>
      <c r="AB250">
        <v>5</v>
      </c>
      <c r="AC250" s="1">
        <v>7.55</v>
      </c>
      <c r="AD250">
        <v>7</v>
      </c>
      <c r="AE250" s="1">
        <v>17.63</v>
      </c>
      <c r="AF250" s="1">
        <v>0</v>
      </c>
      <c r="AG250" s="1">
        <v>0</v>
      </c>
      <c r="AH250" s="1">
        <v>0</v>
      </c>
      <c r="AI250" s="1">
        <v>0</v>
      </c>
      <c r="AJ250" s="1">
        <v>252.65</v>
      </c>
      <c r="AL250" s="1">
        <v>2839.82</v>
      </c>
      <c r="AM250" s="1">
        <v>0</v>
      </c>
      <c r="AN250" s="1">
        <v>456</v>
      </c>
      <c r="AO250" s="1">
        <v>0</v>
      </c>
      <c r="AP250" s="1">
        <v>-9.09</v>
      </c>
      <c r="AQ250">
        <v>56</v>
      </c>
      <c r="AR250" s="1">
        <v>368.37</v>
      </c>
      <c r="AS250">
        <v>221</v>
      </c>
      <c r="AT250" s="1">
        <v>1425.35</v>
      </c>
      <c r="AU250">
        <v>49</v>
      </c>
      <c r="AV250" s="1">
        <v>292.45999999999998</v>
      </c>
      <c r="AW250">
        <v>8</v>
      </c>
      <c r="AX250" s="1">
        <v>58.76</v>
      </c>
      <c r="AY250">
        <v>42</v>
      </c>
      <c r="AZ250" s="1">
        <v>206.39</v>
      </c>
      <c r="BC250">
        <v>1</v>
      </c>
      <c r="BD250" s="1">
        <v>12.38</v>
      </c>
      <c r="BE250">
        <v>14</v>
      </c>
      <c r="BF250" s="1">
        <v>69.13</v>
      </c>
      <c r="BG250">
        <v>2</v>
      </c>
      <c r="BH250" s="1">
        <v>22.01</v>
      </c>
      <c r="BK250">
        <v>7</v>
      </c>
      <c r="BL250" s="1">
        <v>41.52</v>
      </c>
      <c r="BP250">
        <v>7</v>
      </c>
      <c r="BQ250" s="1">
        <v>88.23</v>
      </c>
      <c r="BR250" s="1">
        <v>81.02</v>
      </c>
      <c r="BZ250">
        <v>1</v>
      </c>
      <c r="CA250">
        <v>4</v>
      </c>
      <c r="CB250" s="1">
        <v>42.78</v>
      </c>
      <c r="CG250">
        <v>249</v>
      </c>
      <c r="CH250">
        <v>249</v>
      </c>
    </row>
    <row r="251" spans="1:86" x14ac:dyDescent="0.35">
      <c r="A251">
        <v>351323</v>
      </c>
      <c r="B251" s="2">
        <v>44218</v>
      </c>
      <c r="C251" s="2">
        <v>44218</v>
      </c>
      <c r="D251">
        <v>118</v>
      </c>
      <c r="E251" s="1">
        <v>392.67</v>
      </c>
      <c r="F251" s="1">
        <v>1670.23</v>
      </c>
      <c r="G251" s="1">
        <v>520.98</v>
      </c>
      <c r="H251" s="1">
        <v>777.35</v>
      </c>
      <c r="I251" s="1">
        <v>136.05000000000001</v>
      </c>
      <c r="J251" s="1">
        <v>3301.43</v>
      </c>
      <c r="K251" s="1">
        <v>375.23</v>
      </c>
      <c r="L251">
        <v>638</v>
      </c>
      <c r="M251" s="1">
        <v>375.23</v>
      </c>
      <c r="N251" s="1">
        <v>3420.83</v>
      </c>
      <c r="O251">
        <v>0</v>
      </c>
      <c r="P251" s="1">
        <v>0</v>
      </c>
      <c r="Q251">
        <v>2</v>
      </c>
      <c r="R251" s="1">
        <v>0.52</v>
      </c>
      <c r="S251">
        <v>42</v>
      </c>
      <c r="T251" s="1">
        <v>79.58</v>
      </c>
      <c r="U251" s="1">
        <v>39.299999999999997</v>
      </c>
      <c r="V251">
        <v>1</v>
      </c>
      <c r="W251" s="1">
        <v>20</v>
      </c>
      <c r="X251">
        <v>11</v>
      </c>
      <c r="Y251" s="1">
        <v>0</v>
      </c>
      <c r="Z251">
        <v>85</v>
      </c>
      <c r="AA251" s="1">
        <v>566.63</v>
      </c>
      <c r="AB251">
        <v>18</v>
      </c>
      <c r="AC251" s="1">
        <v>36.159999999999997</v>
      </c>
      <c r="AD251">
        <v>2</v>
      </c>
      <c r="AE251" s="1">
        <v>5.16</v>
      </c>
      <c r="AF251" s="1">
        <v>0</v>
      </c>
      <c r="AG251" s="1">
        <v>0</v>
      </c>
      <c r="AH251" s="1">
        <v>0</v>
      </c>
      <c r="AI251" s="1">
        <v>0</v>
      </c>
      <c r="AJ251" s="1">
        <v>220.43</v>
      </c>
      <c r="AL251" s="1">
        <v>3676.66</v>
      </c>
      <c r="AM251" s="1">
        <v>0</v>
      </c>
      <c r="AN251" s="1">
        <v>690</v>
      </c>
      <c r="AO251" s="1">
        <v>0</v>
      </c>
      <c r="AP251" s="1">
        <v>9.77</v>
      </c>
      <c r="AQ251">
        <v>103</v>
      </c>
      <c r="AR251" s="1">
        <v>704.46</v>
      </c>
      <c r="AS251">
        <v>268</v>
      </c>
      <c r="AT251" s="1">
        <v>1730.67</v>
      </c>
      <c r="AU251">
        <v>19</v>
      </c>
      <c r="AV251" s="1">
        <v>149.19999999999999</v>
      </c>
      <c r="AW251">
        <v>8</v>
      </c>
      <c r="AX251" s="1">
        <v>80.27</v>
      </c>
      <c r="AY251">
        <v>69</v>
      </c>
      <c r="AZ251" s="1">
        <v>358.61</v>
      </c>
      <c r="BE251">
        <v>11</v>
      </c>
      <c r="BF251" s="1">
        <v>46.82</v>
      </c>
      <c r="BG251">
        <v>7</v>
      </c>
      <c r="BH251" s="1">
        <v>54.18</v>
      </c>
      <c r="BK251">
        <v>4</v>
      </c>
      <c r="BL251" s="1">
        <v>19.37</v>
      </c>
      <c r="BM251">
        <v>1</v>
      </c>
      <c r="BN251" s="1">
        <v>15.31</v>
      </c>
      <c r="BO251" s="1">
        <v>14.44</v>
      </c>
      <c r="BP251">
        <v>4</v>
      </c>
      <c r="BQ251" s="1">
        <v>38.119999999999997</v>
      </c>
      <c r="BR251" s="1">
        <v>17.239999999999998</v>
      </c>
      <c r="BZ251">
        <v>1</v>
      </c>
      <c r="CA251">
        <v>3</v>
      </c>
      <c r="CB251" s="1">
        <v>39.85</v>
      </c>
      <c r="CG251">
        <v>250</v>
      </c>
      <c r="CH251">
        <v>250</v>
      </c>
    </row>
    <row r="252" spans="1:86" x14ac:dyDescent="0.35">
      <c r="A252">
        <v>353927</v>
      </c>
      <c r="B252" s="2">
        <v>44218</v>
      </c>
      <c r="C252" s="2">
        <v>44218</v>
      </c>
      <c r="D252">
        <v>177</v>
      </c>
      <c r="E252" s="1">
        <v>606.95000000000005</v>
      </c>
      <c r="F252" s="1">
        <v>1785.47</v>
      </c>
      <c r="G252" s="1">
        <v>823.77</v>
      </c>
      <c r="H252" s="1">
        <v>934.02</v>
      </c>
      <c r="I252" s="1">
        <v>120.55</v>
      </c>
      <c r="J252" s="1">
        <v>3888.45</v>
      </c>
      <c r="K252" s="1">
        <v>0</v>
      </c>
      <c r="L252">
        <v>647</v>
      </c>
      <c r="M252" s="1">
        <v>0</v>
      </c>
      <c r="N252" s="1">
        <v>4021.5</v>
      </c>
      <c r="O252">
        <v>0</v>
      </c>
      <c r="P252" s="1">
        <v>0</v>
      </c>
      <c r="Q252">
        <v>8</v>
      </c>
      <c r="R252" s="1">
        <v>1.97</v>
      </c>
      <c r="S252">
        <v>52</v>
      </c>
      <c r="T252" s="1">
        <v>74.959999999999994</v>
      </c>
      <c r="U252" s="1">
        <v>56.12</v>
      </c>
      <c r="V252">
        <v>0</v>
      </c>
      <c r="W252" s="1">
        <v>0</v>
      </c>
      <c r="X252">
        <v>16</v>
      </c>
      <c r="Y252" s="1">
        <v>0</v>
      </c>
      <c r="Z252">
        <v>75</v>
      </c>
      <c r="AA252" s="1">
        <v>212.3</v>
      </c>
      <c r="AB252">
        <v>14</v>
      </c>
      <c r="AC252" s="1">
        <v>49.75</v>
      </c>
      <c r="AD252">
        <v>3</v>
      </c>
      <c r="AE252" s="1">
        <v>11.6</v>
      </c>
      <c r="AF252" s="1">
        <v>0</v>
      </c>
      <c r="AG252" s="1">
        <v>0</v>
      </c>
      <c r="AH252" s="1">
        <v>0</v>
      </c>
      <c r="AI252" s="1">
        <v>0</v>
      </c>
      <c r="AJ252" s="1">
        <v>233.33</v>
      </c>
      <c r="AL252" s="1">
        <v>3888.45</v>
      </c>
      <c r="AM252" s="1">
        <v>0</v>
      </c>
      <c r="AN252" s="1">
        <v>740</v>
      </c>
      <c r="AO252" s="1">
        <v>0</v>
      </c>
      <c r="AP252" s="1">
        <v>2.04</v>
      </c>
      <c r="AQ252">
        <v>98</v>
      </c>
      <c r="AR252" s="1">
        <v>604.34</v>
      </c>
      <c r="AS252">
        <v>278</v>
      </c>
      <c r="AT252" s="1">
        <v>1856.36</v>
      </c>
      <c r="AU252">
        <v>10</v>
      </c>
      <c r="AV252" s="1">
        <v>69.19</v>
      </c>
      <c r="AW252">
        <v>4</v>
      </c>
      <c r="AX252" s="1">
        <v>21.66</v>
      </c>
      <c r="AY252">
        <v>64</v>
      </c>
      <c r="AZ252" s="1">
        <v>301.33</v>
      </c>
      <c r="BA252">
        <v>4</v>
      </c>
      <c r="BB252" s="1">
        <v>22.38</v>
      </c>
      <c r="BE252">
        <v>17</v>
      </c>
      <c r="BF252" s="1">
        <v>121.79</v>
      </c>
      <c r="BG252">
        <v>3</v>
      </c>
      <c r="BH252" s="1">
        <v>33.409999999999997</v>
      </c>
      <c r="BK252">
        <v>6</v>
      </c>
      <c r="BL252" s="1">
        <v>59.69</v>
      </c>
      <c r="BM252">
        <v>3</v>
      </c>
      <c r="BN252" s="1">
        <v>76.86</v>
      </c>
      <c r="BO252" s="1">
        <v>72.510000000000005</v>
      </c>
      <c r="BP252">
        <v>10</v>
      </c>
      <c r="BQ252" s="1">
        <v>139.13999999999999</v>
      </c>
      <c r="BR252" s="1">
        <v>135.54</v>
      </c>
      <c r="BZ252">
        <v>1</v>
      </c>
      <c r="CA252">
        <v>8</v>
      </c>
      <c r="CB252" s="1">
        <v>77.67</v>
      </c>
      <c r="CG252">
        <v>251</v>
      </c>
      <c r="CH252">
        <v>251</v>
      </c>
    </row>
    <row r="253" spans="1:86" x14ac:dyDescent="0.35">
      <c r="A253">
        <v>354030</v>
      </c>
      <c r="B253" s="2">
        <v>44218</v>
      </c>
      <c r="C253" s="2">
        <v>44218</v>
      </c>
      <c r="D253">
        <v>168</v>
      </c>
      <c r="E253" s="1">
        <v>559.87</v>
      </c>
      <c r="F253" s="1">
        <v>1738.64</v>
      </c>
      <c r="G253" s="1">
        <v>843.76</v>
      </c>
      <c r="H253" s="1">
        <v>654.21</v>
      </c>
      <c r="I253" s="1">
        <v>130.58000000000001</v>
      </c>
      <c r="J253" s="1">
        <v>3563.81</v>
      </c>
      <c r="K253" s="1">
        <v>182.47</v>
      </c>
      <c r="L253">
        <v>591</v>
      </c>
      <c r="M253" s="1">
        <v>189.04</v>
      </c>
      <c r="N253" s="1">
        <v>3706.9</v>
      </c>
      <c r="O253">
        <v>0</v>
      </c>
      <c r="P253" s="1">
        <v>0</v>
      </c>
      <c r="Q253">
        <v>9</v>
      </c>
      <c r="R253" s="1">
        <v>1.61</v>
      </c>
      <c r="S253">
        <v>44</v>
      </c>
      <c r="T253" s="1">
        <v>74.78</v>
      </c>
      <c r="U253" s="1">
        <v>73.27</v>
      </c>
      <c r="V253">
        <v>2</v>
      </c>
      <c r="W253" s="1">
        <v>15</v>
      </c>
      <c r="X253">
        <v>6</v>
      </c>
      <c r="Y253" s="1">
        <v>0</v>
      </c>
      <c r="Z253">
        <v>70</v>
      </c>
      <c r="AA253" s="1">
        <v>204.29</v>
      </c>
      <c r="AB253">
        <v>3</v>
      </c>
      <c r="AC253" s="1">
        <v>8.8800000000000008</v>
      </c>
      <c r="AD253">
        <v>2</v>
      </c>
      <c r="AE253" s="1">
        <v>7.19</v>
      </c>
      <c r="AF253" s="1">
        <v>0</v>
      </c>
      <c r="AG253" s="1">
        <v>0</v>
      </c>
      <c r="AH253" s="1">
        <v>0</v>
      </c>
      <c r="AI253" s="1">
        <v>0</v>
      </c>
      <c r="AJ253" s="1">
        <v>224.76</v>
      </c>
      <c r="AL253" s="1">
        <v>3746.28</v>
      </c>
      <c r="AM253" s="1">
        <v>0</v>
      </c>
      <c r="AN253" s="1">
        <v>445</v>
      </c>
      <c r="AO253" s="1">
        <v>0</v>
      </c>
      <c r="AP253" s="1">
        <v>-19.22</v>
      </c>
      <c r="AQ253">
        <v>75</v>
      </c>
      <c r="AR253" s="1">
        <v>539.87</v>
      </c>
      <c r="AS253">
        <v>264</v>
      </c>
      <c r="AT253" s="1">
        <v>1998.07</v>
      </c>
      <c r="AU253">
        <v>12</v>
      </c>
      <c r="AV253" s="1">
        <v>80.27</v>
      </c>
      <c r="AW253">
        <v>9</v>
      </c>
      <c r="AX253" s="1">
        <v>80.459999999999994</v>
      </c>
      <c r="AY253">
        <v>76</v>
      </c>
      <c r="AZ253" s="1">
        <v>413.94</v>
      </c>
      <c r="BC253">
        <v>2</v>
      </c>
      <c r="BD253" s="1">
        <v>7.4</v>
      </c>
      <c r="BE253">
        <v>23</v>
      </c>
      <c r="BF253" s="1">
        <v>141.18</v>
      </c>
      <c r="BG253">
        <v>2</v>
      </c>
      <c r="BH253" s="1">
        <v>12.99</v>
      </c>
      <c r="BK253">
        <v>11</v>
      </c>
      <c r="BL253" s="1">
        <v>85.24</v>
      </c>
      <c r="BM253">
        <v>1</v>
      </c>
      <c r="BN253" s="1">
        <v>15.33</v>
      </c>
      <c r="BO253" s="1">
        <v>14.46</v>
      </c>
      <c r="BP253">
        <v>3</v>
      </c>
      <c r="BQ253" s="1">
        <v>52.24</v>
      </c>
      <c r="BR253" s="1">
        <v>49.28</v>
      </c>
      <c r="BZ253">
        <v>1</v>
      </c>
      <c r="CA253">
        <v>10</v>
      </c>
      <c r="CB253" s="1">
        <v>94.83</v>
      </c>
      <c r="CG253">
        <v>252</v>
      </c>
      <c r="CH253">
        <v>252</v>
      </c>
    </row>
    <row r="254" spans="1:86" x14ac:dyDescent="0.35">
      <c r="A254">
        <v>355439</v>
      </c>
      <c r="B254" s="2">
        <v>44218</v>
      </c>
      <c r="C254" s="2">
        <v>44218</v>
      </c>
      <c r="D254">
        <v>177</v>
      </c>
      <c r="E254" s="1">
        <v>567.75</v>
      </c>
      <c r="F254" s="1">
        <v>2068.9499999999998</v>
      </c>
      <c r="G254" s="1">
        <v>880.44</v>
      </c>
      <c r="H254" s="1">
        <v>877.91</v>
      </c>
      <c r="I254" s="1">
        <v>128.11000000000001</v>
      </c>
      <c r="J254" s="1">
        <v>4215.55</v>
      </c>
      <c r="K254" s="1">
        <v>0</v>
      </c>
      <c r="L254">
        <v>773</v>
      </c>
      <c r="M254" s="1">
        <v>0</v>
      </c>
      <c r="N254" s="1">
        <v>4364.8900000000003</v>
      </c>
      <c r="O254">
        <v>2</v>
      </c>
      <c r="P254" s="1">
        <v>14.99</v>
      </c>
      <c r="Q254">
        <v>11</v>
      </c>
      <c r="R254" s="1">
        <v>4.04</v>
      </c>
      <c r="S254">
        <v>47</v>
      </c>
      <c r="T254" s="1">
        <v>99.45</v>
      </c>
      <c r="U254" s="1">
        <v>30.86</v>
      </c>
      <c r="V254">
        <v>0</v>
      </c>
      <c r="W254" s="1">
        <v>0</v>
      </c>
      <c r="X254">
        <v>23</v>
      </c>
      <c r="Y254" s="1">
        <v>0</v>
      </c>
      <c r="Z254">
        <v>117</v>
      </c>
      <c r="AA254" s="1">
        <v>296.54000000000002</v>
      </c>
      <c r="AB254">
        <v>20</v>
      </c>
      <c r="AC254" s="1">
        <v>71.400000000000006</v>
      </c>
      <c r="AD254">
        <v>4</v>
      </c>
      <c r="AE254" s="1">
        <v>0</v>
      </c>
      <c r="AF254" s="1">
        <v>0</v>
      </c>
      <c r="AG254" s="1">
        <v>0</v>
      </c>
      <c r="AH254" s="1">
        <v>0</v>
      </c>
      <c r="AI254" s="1">
        <v>0</v>
      </c>
      <c r="AJ254" s="1">
        <v>337.58</v>
      </c>
      <c r="AL254" s="1">
        <v>4215.55</v>
      </c>
      <c r="AM254" s="1">
        <v>0</v>
      </c>
      <c r="AN254" s="1">
        <v>685</v>
      </c>
      <c r="AO254" s="1">
        <v>0</v>
      </c>
      <c r="AP254" s="1">
        <v>-9.69</v>
      </c>
      <c r="AQ254">
        <v>112</v>
      </c>
      <c r="AR254" s="1">
        <v>658.47</v>
      </c>
      <c r="AS254">
        <v>304</v>
      </c>
      <c r="AT254" s="1">
        <v>2087.31</v>
      </c>
      <c r="AU254">
        <v>28</v>
      </c>
      <c r="AV254" s="1">
        <v>232.21</v>
      </c>
      <c r="AW254">
        <v>8</v>
      </c>
      <c r="AX254" s="1">
        <v>63.16</v>
      </c>
      <c r="AY254">
        <v>73</v>
      </c>
      <c r="AZ254" s="1">
        <v>377.14</v>
      </c>
      <c r="BA254">
        <v>3</v>
      </c>
      <c r="BB254" s="1">
        <v>16.93</v>
      </c>
      <c r="BC254">
        <v>5</v>
      </c>
      <c r="BD254" s="1">
        <v>26.51</v>
      </c>
      <c r="BE254">
        <v>24</v>
      </c>
      <c r="BF254" s="1">
        <v>119.38</v>
      </c>
      <c r="BG254">
        <v>7</v>
      </c>
      <c r="BH254" s="1">
        <v>50.28</v>
      </c>
      <c r="BK254">
        <v>11</v>
      </c>
      <c r="BL254" s="1">
        <v>84.98</v>
      </c>
      <c r="BP254">
        <v>3</v>
      </c>
      <c r="BQ254" s="1">
        <v>36.119999999999997</v>
      </c>
      <c r="BR254" s="1">
        <v>33.44</v>
      </c>
      <c r="BZ254">
        <v>1</v>
      </c>
      <c r="CA254">
        <v>7</v>
      </c>
      <c r="CB254" s="1">
        <v>105.95</v>
      </c>
      <c r="CG254">
        <v>253</v>
      </c>
      <c r="CH254">
        <v>253</v>
      </c>
    </row>
    <row r="255" spans="1:86" x14ac:dyDescent="0.35">
      <c r="A255">
        <v>350432</v>
      </c>
      <c r="B255" s="2">
        <v>44219</v>
      </c>
      <c r="C255" s="2">
        <v>44219</v>
      </c>
      <c r="D255">
        <v>180</v>
      </c>
      <c r="E255" s="1">
        <v>574.66999999999996</v>
      </c>
      <c r="F255" s="1">
        <v>1957.52</v>
      </c>
      <c r="G255" s="1">
        <v>572.95000000000005</v>
      </c>
      <c r="H255" s="1">
        <v>1200.31</v>
      </c>
      <c r="I255" s="1">
        <v>113.29</v>
      </c>
      <c r="J255" s="1">
        <v>4192.8999999999996</v>
      </c>
      <c r="K255" s="1">
        <v>958.96</v>
      </c>
      <c r="L255">
        <v>756</v>
      </c>
      <c r="M255" s="1">
        <v>967.72</v>
      </c>
      <c r="N255" s="1">
        <v>4374.32</v>
      </c>
      <c r="O255">
        <v>1</v>
      </c>
      <c r="P255" s="1">
        <v>2.89</v>
      </c>
      <c r="Q255">
        <v>12</v>
      </c>
      <c r="R255" s="1">
        <v>8.1999999999999993</v>
      </c>
      <c r="S255">
        <v>53</v>
      </c>
      <c r="T255" s="1">
        <v>111.57</v>
      </c>
      <c r="U255" s="1">
        <v>67.52</v>
      </c>
      <c r="V255">
        <v>1</v>
      </c>
      <c r="W255" s="1">
        <v>50</v>
      </c>
      <c r="X255">
        <v>12</v>
      </c>
      <c r="Y255" s="1">
        <v>0</v>
      </c>
      <c r="Z255">
        <v>139</v>
      </c>
      <c r="AA255" s="1">
        <v>456.67</v>
      </c>
      <c r="AB255">
        <v>23</v>
      </c>
      <c r="AC255" s="1">
        <v>67.349999999999994</v>
      </c>
      <c r="AD255">
        <v>2</v>
      </c>
      <c r="AE255" s="1">
        <v>10.62</v>
      </c>
      <c r="AF255" s="1">
        <v>0</v>
      </c>
      <c r="AG255" s="1">
        <v>0</v>
      </c>
      <c r="AH255" s="1">
        <v>0</v>
      </c>
      <c r="AI255" s="1">
        <v>0</v>
      </c>
      <c r="AJ255" s="1">
        <v>458.37</v>
      </c>
      <c r="AL255" s="1">
        <v>5151.8599999999997</v>
      </c>
      <c r="AM255" s="1">
        <v>0</v>
      </c>
      <c r="AN255" s="1">
        <v>1055</v>
      </c>
      <c r="AO255" s="1">
        <v>0</v>
      </c>
      <c r="AP255" s="1">
        <v>3.61</v>
      </c>
      <c r="AQ255">
        <v>84</v>
      </c>
      <c r="AR255" s="1">
        <v>735.19</v>
      </c>
      <c r="AS255">
        <v>320</v>
      </c>
      <c r="AT255" s="1">
        <v>2431.1799999999998</v>
      </c>
      <c r="AU255">
        <v>45</v>
      </c>
      <c r="AV255" s="1">
        <v>355.89</v>
      </c>
      <c r="AW255">
        <v>10</v>
      </c>
      <c r="AX255" s="1">
        <v>77.33</v>
      </c>
      <c r="AY255">
        <v>64</v>
      </c>
      <c r="AZ255" s="1">
        <v>338.56</v>
      </c>
      <c r="BC255">
        <v>5</v>
      </c>
      <c r="BD255" s="1">
        <v>24.39</v>
      </c>
      <c r="BE255">
        <v>12</v>
      </c>
      <c r="BF255" s="1">
        <v>66.13</v>
      </c>
      <c r="BG255">
        <v>3</v>
      </c>
      <c r="BH255" s="1">
        <v>31.75</v>
      </c>
      <c r="BI255">
        <v>2</v>
      </c>
      <c r="BJ255" s="1">
        <v>76.209999999999994</v>
      </c>
      <c r="BK255">
        <v>9</v>
      </c>
      <c r="BL255" s="1">
        <v>64.260000000000005</v>
      </c>
      <c r="BM255">
        <v>1</v>
      </c>
      <c r="BN255" s="1">
        <v>5.53</v>
      </c>
      <c r="BO255" s="1">
        <v>5.08</v>
      </c>
      <c r="BP255">
        <v>20</v>
      </c>
      <c r="BQ255" s="1">
        <v>308.13</v>
      </c>
      <c r="BR255" s="1">
        <v>282.94</v>
      </c>
      <c r="BZ255">
        <v>1</v>
      </c>
      <c r="CA255">
        <v>8</v>
      </c>
      <c r="CB255" s="1">
        <v>94.29</v>
      </c>
      <c r="CG255">
        <v>254</v>
      </c>
      <c r="CH255">
        <v>254</v>
      </c>
    </row>
    <row r="256" spans="1:86" x14ac:dyDescent="0.35">
      <c r="A256">
        <v>350437</v>
      </c>
      <c r="B256" s="2">
        <v>44219</v>
      </c>
      <c r="C256" s="2">
        <v>44219</v>
      </c>
      <c r="D256">
        <v>122</v>
      </c>
      <c r="E256" s="1">
        <v>380.54</v>
      </c>
      <c r="F256" s="1">
        <v>1275.69</v>
      </c>
      <c r="G256" s="1">
        <v>627.88</v>
      </c>
      <c r="H256" s="1">
        <v>690.3</v>
      </c>
      <c r="I256" s="1">
        <v>99.47</v>
      </c>
      <c r="J256" s="1">
        <v>2863.97</v>
      </c>
      <c r="K256" s="1">
        <v>0</v>
      </c>
      <c r="L256">
        <v>462</v>
      </c>
      <c r="M256" s="1">
        <v>0</v>
      </c>
      <c r="N256" s="1">
        <v>2965.96</v>
      </c>
      <c r="O256">
        <v>0</v>
      </c>
      <c r="P256" s="1">
        <v>0</v>
      </c>
      <c r="Q256">
        <v>6</v>
      </c>
      <c r="R256" s="1">
        <v>4.2</v>
      </c>
      <c r="S256">
        <v>29</v>
      </c>
      <c r="T256" s="1">
        <v>63.43</v>
      </c>
      <c r="U256" s="1">
        <v>34.36</v>
      </c>
      <c r="V256">
        <v>0</v>
      </c>
      <c r="W256" s="1">
        <v>0</v>
      </c>
      <c r="X256">
        <v>22</v>
      </c>
      <c r="Y256" s="1">
        <v>0</v>
      </c>
      <c r="Z256">
        <v>65</v>
      </c>
      <c r="AA256" s="1">
        <v>169.74</v>
      </c>
      <c r="AB256">
        <v>4</v>
      </c>
      <c r="AC256" s="1">
        <v>7.36</v>
      </c>
      <c r="AD256">
        <v>3</v>
      </c>
      <c r="AE256" s="1">
        <v>2.93</v>
      </c>
      <c r="AF256" s="1">
        <v>0</v>
      </c>
      <c r="AG256" s="1">
        <v>0</v>
      </c>
      <c r="AH256" s="1">
        <v>0</v>
      </c>
      <c r="AI256" s="1">
        <v>0</v>
      </c>
      <c r="AJ256" s="1">
        <v>254.81</v>
      </c>
      <c r="AL256" s="1">
        <v>2863.97</v>
      </c>
      <c r="AM256" s="1">
        <v>0</v>
      </c>
      <c r="AN256" s="1">
        <v>506</v>
      </c>
      <c r="AO256" s="1">
        <v>0</v>
      </c>
      <c r="AP256" s="1">
        <v>2.0299999999999998</v>
      </c>
      <c r="AQ256">
        <v>59</v>
      </c>
      <c r="AR256" s="1">
        <v>507.45</v>
      </c>
      <c r="AS256">
        <v>185</v>
      </c>
      <c r="AT256" s="1">
        <v>1250.02</v>
      </c>
      <c r="AU256">
        <v>37</v>
      </c>
      <c r="AV256" s="1">
        <v>264.61</v>
      </c>
      <c r="AW256">
        <v>8</v>
      </c>
      <c r="AX256" s="1">
        <v>53.95</v>
      </c>
      <c r="AY256">
        <v>50</v>
      </c>
      <c r="AZ256" s="1">
        <v>264.31</v>
      </c>
      <c r="BC256">
        <v>3</v>
      </c>
      <c r="BD256" s="1">
        <v>23.54</v>
      </c>
      <c r="BE256">
        <v>11</v>
      </c>
      <c r="BF256" s="1">
        <v>57.2</v>
      </c>
      <c r="BG256">
        <v>4</v>
      </c>
      <c r="BH256" s="1">
        <v>18.190000000000001</v>
      </c>
      <c r="BK256">
        <v>2</v>
      </c>
      <c r="BL256" s="1">
        <v>10.31</v>
      </c>
      <c r="BP256">
        <v>11</v>
      </c>
      <c r="BQ256" s="1">
        <v>159.6</v>
      </c>
      <c r="BR256" s="1">
        <v>125.28</v>
      </c>
      <c r="BZ256">
        <v>1</v>
      </c>
      <c r="CA256">
        <v>1</v>
      </c>
      <c r="CB256" s="1">
        <v>5.63</v>
      </c>
      <c r="CG256">
        <v>255</v>
      </c>
      <c r="CH256">
        <v>255</v>
      </c>
    </row>
    <row r="257" spans="1:86" x14ac:dyDescent="0.35">
      <c r="A257">
        <v>351323</v>
      </c>
      <c r="B257" s="2">
        <v>44219</v>
      </c>
      <c r="C257" s="2">
        <v>44219</v>
      </c>
      <c r="D257">
        <v>154</v>
      </c>
      <c r="E257" s="1">
        <v>538.41999999999996</v>
      </c>
      <c r="F257" s="1">
        <v>1763.21</v>
      </c>
      <c r="G257" s="1">
        <v>623.65</v>
      </c>
      <c r="H257" s="1">
        <v>907.94</v>
      </c>
      <c r="I257" s="1">
        <v>107.38</v>
      </c>
      <c r="J257" s="1">
        <v>3555.76</v>
      </c>
      <c r="K257" s="1">
        <v>461.38</v>
      </c>
      <c r="L257">
        <v>603</v>
      </c>
      <c r="M257" s="1">
        <v>466.01</v>
      </c>
      <c r="N257" s="1">
        <v>3701.4</v>
      </c>
      <c r="O257">
        <v>2</v>
      </c>
      <c r="P257" s="1">
        <v>9.36</v>
      </c>
      <c r="Q257">
        <v>9</v>
      </c>
      <c r="R257" s="1">
        <v>2.65</v>
      </c>
      <c r="S257">
        <v>42</v>
      </c>
      <c r="T257" s="1">
        <v>79.459999999999994</v>
      </c>
      <c r="U257" s="1">
        <v>58.8</v>
      </c>
      <c r="V257">
        <v>1</v>
      </c>
      <c r="W257" s="1">
        <v>50</v>
      </c>
      <c r="X257">
        <v>7</v>
      </c>
      <c r="Y257" s="1">
        <v>0</v>
      </c>
      <c r="Z257">
        <v>103</v>
      </c>
      <c r="AA257" s="1">
        <v>299</v>
      </c>
      <c r="AB257">
        <v>19</v>
      </c>
      <c r="AC257" s="1">
        <v>60.32</v>
      </c>
      <c r="AD257">
        <v>1</v>
      </c>
      <c r="AE257" s="1">
        <v>6.13</v>
      </c>
      <c r="AF257" s="1">
        <v>0</v>
      </c>
      <c r="AG257" s="1">
        <v>0</v>
      </c>
      <c r="AH257" s="1">
        <v>0</v>
      </c>
      <c r="AI257" s="1">
        <v>0</v>
      </c>
      <c r="AJ257" s="1">
        <v>240.86</v>
      </c>
      <c r="AL257" s="1">
        <v>4017.14</v>
      </c>
      <c r="AM257" s="1">
        <v>0</v>
      </c>
      <c r="AN257" s="1">
        <v>841</v>
      </c>
      <c r="AO257" s="1">
        <v>0</v>
      </c>
      <c r="AP257" s="1">
        <v>-5.36</v>
      </c>
      <c r="AQ257">
        <v>97</v>
      </c>
      <c r="AR257" s="1">
        <v>695.12</v>
      </c>
      <c r="AS257">
        <v>263</v>
      </c>
      <c r="AT257" s="1">
        <v>2147.04</v>
      </c>
      <c r="AU257">
        <v>13</v>
      </c>
      <c r="AV257" s="1">
        <v>89.91</v>
      </c>
      <c r="AW257">
        <v>9</v>
      </c>
      <c r="AX257" s="1">
        <v>63.88</v>
      </c>
      <c r="AY257">
        <v>57</v>
      </c>
      <c r="AZ257" s="1">
        <v>272.67</v>
      </c>
      <c r="BE257">
        <v>12</v>
      </c>
      <c r="BF257" s="1">
        <v>102.6</v>
      </c>
      <c r="BK257">
        <v>4</v>
      </c>
      <c r="BL257" s="1">
        <v>37.35</v>
      </c>
      <c r="BP257">
        <v>5</v>
      </c>
      <c r="BQ257" s="1">
        <v>46.1</v>
      </c>
      <c r="BR257" s="1">
        <v>43.49</v>
      </c>
      <c r="BZ257">
        <v>1</v>
      </c>
      <c r="CA257">
        <v>1</v>
      </c>
      <c r="CB257" s="1">
        <v>6.97</v>
      </c>
      <c r="CG257">
        <v>256</v>
      </c>
      <c r="CH257">
        <v>256</v>
      </c>
    </row>
    <row r="258" spans="1:86" x14ac:dyDescent="0.35">
      <c r="A258">
        <v>353927</v>
      </c>
      <c r="B258" s="2">
        <v>44219</v>
      </c>
      <c r="C258" s="2">
        <v>44219</v>
      </c>
      <c r="D258">
        <v>117</v>
      </c>
      <c r="E258" s="1">
        <v>402.14</v>
      </c>
      <c r="F258" s="1">
        <v>1509.89</v>
      </c>
      <c r="G258" s="1">
        <v>729.98</v>
      </c>
      <c r="H258" s="1">
        <v>813.65</v>
      </c>
      <c r="I258" s="1">
        <v>87.67</v>
      </c>
      <c r="J258" s="1">
        <v>3322.22</v>
      </c>
      <c r="K258" s="1">
        <v>0</v>
      </c>
      <c r="L258">
        <v>518</v>
      </c>
      <c r="M258" s="1">
        <v>0</v>
      </c>
      <c r="N258" s="1">
        <v>3489.89</v>
      </c>
      <c r="O258">
        <v>0</v>
      </c>
      <c r="P258" s="1">
        <v>0</v>
      </c>
      <c r="Q258">
        <v>7</v>
      </c>
      <c r="R258" s="1">
        <v>38.39</v>
      </c>
      <c r="S258">
        <v>47</v>
      </c>
      <c r="T258" s="1">
        <v>74.739999999999995</v>
      </c>
      <c r="U258" s="1">
        <v>54.54</v>
      </c>
      <c r="V258">
        <v>0</v>
      </c>
      <c r="W258" s="1">
        <v>0</v>
      </c>
      <c r="X258">
        <v>8</v>
      </c>
      <c r="Y258" s="1">
        <v>0</v>
      </c>
      <c r="Z258">
        <v>78</v>
      </c>
      <c r="AA258" s="1">
        <v>224.73</v>
      </c>
      <c r="AB258">
        <v>9</v>
      </c>
      <c r="AC258" s="1">
        <v>35.42</v>
      </c>
      <c r="AD258">
        <v>1</v>
      </c>
      <c r="AE258" s="1">
        <v>0</v>
      </c>
      <c r="AF258" s="1">
        <v>0</v>
      </c>
      <c r="AG258" s="1">
        <v>0</v>
      </c>
      <c r="AH258" s="1">
        <v>0</v>
      </c>
      <c r="AI258" s="1">
        <v>0</v>
      </c>
      <c r="AJ258" s="1">
        <v>199.26</v>
      </c>
      <c r="AL258" s="1">
        <v>3322.22</v>
      </c>
      <c r="AM258" s="1">
        <v>0</v>
      </c>
      <c r="AN258" s="1">
        <v>726</v>
      </c>
      <c r="AO258" s="1">
        <v>0</v>
      </c>
      <c r="AP258" s="1">
        <v>-0.94</v>
      </c>
      <c r="AQ258">
        <v>83</v>
      </c>
      <c r="AR258" s="1">
        <v>581.88</v>
      </c>
      <c r="AS258">
        <v>220</v>
      </c>
      <c r="AT258" s="1">
        <v>1547.76</v>
      </c>
      <c r="AU258">
        <v>7</v>
      </c>
      <c r="AV258" s="1">
        <v>74.42</v>
      </c>
      <c r="AW258">
        <v>4</v>
      </c>
      <c r="AX258" s="1">
        <v>34.409999999999997</v>
      </c>
      <c r="AY258">
        <v>43</v>
      </c>
      <c r="AZ258" s="1">
        <v>220.05</v>
      </c>
      <c r="BE258">
        <v>10</v>
      </c>
      <c r="BF258" s="1">
        <v>74.19</v>
      </c>
      <c r="BG258">
        <v>2</v>
      </c>
      <c r="BH258" s="1">
        <v>12.58</v>
      </c>
      <c r="BK258">
        <v>2</v>
      </c>
      <c r="BL258" s="1">
        <v>28.49</v>
      </c>
      <c r="BM258">
        <v>1</v>
      </c>
      <c r="BN258" s="1">
        <v>10.06</v>
      </c>
      <c r="BO258" s="1">
        <v>9.49</v>
      </c>
      <c r="BP258">
        <v>7</v>
      </c>
      <c r="BQ258" s="1">
        <v>83.79</v>
      </c>
      <c r="BR258" s="1">
        <v>79.05</v>
      </c>
      <c r="BZ258">
        <v>1</v>
      </c>
      <c r="CA258">
        <v>8</v>
      </c>
      <c r="CB258" s="1">
        <v>126.91</v>
      </c>
      <c r="CG258">
        <v>257</v>
      </c>
      <c r="CH258">
        <v>257</v>
      </c>
    </row>
    <row r="259" spans="1:86" x14ac:dyDescent="0.35">
      <c r="A259">
        <v>352613</v>
      </c>
      <c r="B259" s="2">
        <v>44219</v>
      </c>
      <c r="C259" s="2">
        <v>44219</v>
      </c>
      <c r="D259">
        <v>140</v>
      </c>
      <c r="E259">
        <v>497.1</v>
      </c>
      <c r="F259">
        <v>1890.4100000000003</v>
      </c>
      <c r="G259">
        <v>671.59</v>
      </c>
      <c r="H259">
        <v>835.13</v>
      </c>
      <c r="I259">
        <v>146.19999999999999</v>
      </c>
      <c r="J259">
        <v>3646.1</v>
      </c>
      <c r="K259">
        <v>389.44</v>
      </c>
      <c r="L259">
        <v>630</v>
      </c>
      <c r="M259">
        <v>394.31</v>
      </c>
      <c r="N259">
        <v>3808.87</v>
      </c>
      <c r="O259">
        <v>0</v>
      </c>
      <c r="P259">
        <v>0</v>
      </c>
      <c r="R259">
        <v>167.64000000000001</v>
      </c>
      <c r="V259">
        <v>0</v>
      </c>
      <c r="W259">
        <v>0</v>
      </c>
      <c r="X259">
        <v>0</v>
      </c>
      <c r="Y259">
        <v>0</v>
      </c>
      <c r="Z259">
        <v>122</v>
      </c>
      <c r="AA259">
        <v>323.14</v>
      </c>
      <c r="AB259">
        <v>8</v>
      </c>
      <c r="AC259">
        <v>6.68</v>
      </c>
      <c r="AD259">
        <v>13</v>
      </c>
      <c r="AE259">
        <v>30.91</v>
      </c>
      <c r="AH259">
        <v>0</v>
      </c>
      <c r="AJ259">
        <v>323.11</v>
      </c>
      <c r="AN259">
        <v>1132</v>
      </c>
      <c r="AO259">
        <v>8.6999999999999993</v>
      </c>
      <c r="AP259">
        <v>2.9400000000000546</v>
      </c>
      <c r="AQ259">
        <v>90</v>
      </c>
      <c r="AR259">
        <v>708.33</v>
      </c>
      <c r="AS259">
        <v>260</v>
      </c>
      <c r="AT259">
        <v>1978.6</v>
      </c>
      <c r="AU259">
        <v>17</v>
      </c>
      <c r="AV259">
        <v>139.59</v>
      </c>
      <c r="AW259">
        <v>5</v>
      </c>
      <c r="AX259">
        <v>46.71</v>
      </c>
      <c r="AY259">
        <v>54</v>
      </c>
      <c r="AZ259">
        <v>267.88</v>
      </c>
      <c r="BP259">
        <v>1</v>
      </c>
      <c r="BQ259">
        <v>13.26</v>
      </c>
      <c r="BR259">
        <v>12.28</v>
      </c>
      <c r="BS259">
        <v>4033.15</v>
      </c>
      <c r="BV259">
        <v>6.7699999999995271</v>
      </c>
      <c r="BW259">
        <v>4.1900000000000004</v>
      </c>
      <c r="BZ259">
        <v>1</v>
      </c>
      <c r="CA259">
        <v>5</v>
      </c>
      <c r="CB259">
        <v>63.94</v>
      </c>
      <c r="CG259">
        <v>258</v>
      </c>
      <c r="CH259">
        <v>258</v>
      </c>
    </row>
    <row r="260" spans="1:86" x14ac:dyDescent="0.35">
      <c r="A260">
        <v>357150</v>
      </c>
      <c r="B260" s="2">
        <v>44219</v>
      </c>
      <c r="C260" s="2">
        <v>44219</v>
      </c>
      <c r="D260">
        <v>155</v>
      </c>
      <c r="E260">
        <v>575.75</v>
      </c>
      <c r="F260">
        <v>1601.7200000000003</v>
      </c>
      <c r="G260">
        <v>475.44</v>
      </c>
      <c r="H260">
        <v>483.36</v>
      </c>
      <c r="I260">
        <v>84.27</v>
      </c>
      <c r="J260">
        <v>2833.08</v>
      </c>
      <c r="K260">
        <v>275.41000000000003</v>
      </c>
      <c r="L260">
        <v>449</v>
      </c>
      <c r="M260">
        <v>282.76000000000005</v>
      </c>
      <c r="N260">
        <v>2990.31</v>
      </c>
      <c r="O260">
        <v>0</v>
      </c>
      <c r="P260">
        <v>0</v>
      </c>
      <c r="R260">
        <v>164.58</v>
      </c>
      <c r="V260">
        <v>3</v>
      </c>
      <c r="W260">
        <v>15</v>
      </c>
      <c r="X260">
        <v>0</v>
      </c>
      <c r="Y260">
        <v>0</v>
      </c>
      <c r="Z260">
        <v>60</v>
      </c>
      <c r="AA260">
        <v>137.65</v>
      </c>
      <c r="AB260">
        <v>10</v>
      </c>
      <c r="AC260">
        <v>48.71</v>
      </c>
      <c r="AD260">
        <v>5</v>
      </c>
      <c r="AE260">
        <v>6.33</v>
      </c>
      <c r="AH260">
        <v>0</v>
      </c>
      <c r="AJ260">
        <v>248.83</v>
      </c>
      <c r="AN260">
        <v>1702</v>
      </c>
      <c r="AO260">
        <v>0</v>
      </c>
      <c r="AP260">
        <v>643.07999999999993</v>
      </c>
      <c r="AQ260">
        <v>77</v>
      </c>
      <c r="AR260">
        <v>563.87</v>
      </c>
      <c r="AS260">
        <v>164</v>
      </c>
      <c r="AT260">
        <v>1335.47</v>
      </c>
      <c r="AU260">
        <v>8</v>
      </c>
      <c r="AV260">
        <v>76.97</v>
      </c>
      <c r="AW260">
        <v>5</v>
      </c>
      <c r="AX260">
        <v>73.989999999999995</v>
      </c>
      <c r="AY260">
        <v>39</v>
      </c>
      <c r="AZ260">
        <v>263.10000000000002</v>
      </c>
      <c r="BS260">
        <v>3108.49</v>
      </c>
      <c r="BV260">
        <v>0</v>
      </c>
      <c r="BW260">
        <v>0</v>
      </c>
      <c r="CG260">
        <v>259</v>
      </c>
      <c r="CH260">
        <v>259</v>
      </c>
    </row>
    <row r="261" spans="1:86" x14ac:dyDescent="0.35">
      <c r="A261">
        <v>359606</v>
      </c>
      <c r="B261" s="2">
        <v>44219</v>
      </c>
      <c r="C261" s="2">
        <v>44219</v>
      </c>
      <c r="D261">
        <v>51</v>
      </c>
      <c r="E261">
        <v>187.19</v>
      </c>
      <c r="F261">
        <v>706.07</v>
      </c>
      <c r="G261">
        <v>218.95</v>
      </c>
      <c r="H261">
        <v>445</v>
      </c>
      <c r="I261">
        <v>74.98</v>
      </c>
      <c r="J261">
        <v>1482.8899999999999</v>
      </c>
      <c r="K261">
        <v>69.22</v>
      </c>
      <c r="L261">
        <v>263</v>
      </c>
      <c r="M261">
        <v>73.510000000000005</v>
      </c>
      <c r="N261">
        <v>1568.51</v>
      </c>
      <c r="O261">
        <v>0</v>
      </c>
      <c r="P261">
        <v>0</v>
      </c>
      <c r="R261">
        <v>89.910000000000011</v>
      </c>
      <c r="V261">
        <v>1</v>
      </c>
      <c r="W261">
        <v>5</v>
      </c>
      <c r="X261">
        <v>0</v>
      </c>
      <c r="Y261">
        <v>0</v>
      </c>
      <c r="Z261">
        <v>29</v>
      </c>
      <c r="AA261">
        <v>65.37</v>
      </c>
      <c r="AB261">
        <v>2</v>
      </c>
      <c r="AC261">
        <v>24.01</v>
      </c>
      <c r="AD261">
        <v>0</v>
      </c>
      <c r="AE261">
        <v>0</v>
      </c>
      <c r="AH261">
        <v>0</v>
      </c>
      <c r="AJ261">
        <v>138.13</v>
      </c>
      <c r="AN261">
        <v>139</v>
      </c>
      <c r="AO261">
        <v>0</v>
      </c>
      <c r="AP261">
        <v>-1.789999999999992</v>
      </c>
      <c r="AQ261">
        <v>37</v>
      </c>
      <c r="AR261">
        <v>255.97</v>
      </c>
      <c r="AS261">
        <v>113</v>
      </c>
      <c r="AT261">
        <v>652.66</v>
      </c>
      <c r="AU261">
        <v>23</v>
      </c>
      <c r="AV261">
        <v>184.2</v>
      </c>
      <c r="AW261">
        <v>9</v>
      </c>
      <c r="AX261">
        <v>96.51</v>
      </c>
      <c r="AY261">
        <v>45</v>
      </c>
      <c r="AZ261">
        <v>280.14</v>
      </c>
      <c r="BP261">
        <v>3</v>
      </c>
      <c r="BQ261">
        <v>50.73</v>
      </c>
      <c r="BR261">
        <v>46.59</v>
      </c>
      <c r="BS261">
        <v>1552.11</v>
      </c>
      <c r="BV261">
        <v>9.5199999999999818</v>
      </c>
      <c r="BW261">
        <v>9.52</v>
      </c>
      <c r="BZ261">
        <v>1</v>
      </c>
      <c r="CA261">
        <v>3</v>
      </c>
      <c r="CB261">
        <v>34.24</v>
      </c>
      <c r="CG261">
        <v>260</v>
      </c>
      <c r="CH261">
        <v>260</v>
      </c>
    </row>
    <row r="262" spans="1:86" x14ac:dyDescent="0.35">
      <c r="A262">
        <v>358682</v>
      </c>
      <c r="B262" s="2">
        <v>44219</v>
      </c>
      <c r="C262" s="2">
        <v>44219</v>
      </c>
      <c r="D262">
        <v>80</v>
      </c>
      <c r="E262">
        <v>271.60000000000002</v>
      </c>
      <c r="F262">
        <v>874.97</v>
      </c>
      <c r="G262">
        <v>175.84</v>
      </c>
      <c r="H262">
        <v>593.16999999999996</v>
      </c>
      <c r="I262">
        <v>65.03</v>
      </c>
      <c r="J262">
        <v>1723.32</v>
      </c>
      <c r="K262">
        <v>70.83</v>
      </c>
      <c r="L262">
        <v>265</v>
      </c>
      <c r="M262">
        <v>75.13</v>
      </c>
      <c r="N262">
        <v>1837.81</v>
      </c>
      <c r="O262">
        <v>0</v>
      </c>
      <c r="P262">
        <v>0</v>
      </c>
      <c r="R262">
        <v>118.78999999999999</v>
      </c>
      <c r="V262">
        <v>0</v>
      </c>
      <c r="W262">
        <v>0</v>
      </c>
      <c r="X262">
        <v>0</v>
      </c>
      <c r="Y262">
        <v>0</v>
      </c>
      <c r="Z262">
        <v>29</v>
      </c>
      <c r="AA262">
        <v>112.47</v>
      </c>
      <c r="AB262">
        <v>8</v>
      </c>
      <c r="AC262">
        <v>42.48</v>
      </c>
      <c r="AD262">
        <v>15</v>
      </c>
      <c r="AE262">
        <v>24.33</v>
      </c>
      <c r="AH262">
        <v>0</v>
      </c>
      <c r="AJ262">
        <v>159.28</v>
      </c>
      <c r="AN262">
        <v>335.75</v>
      </c>
      <c r="AO262">
        <v>0</v>
      </c>
      <c r="AP262">
        <v>30.800000000000011</v>
      </c>
      <c r="AQ262">
        <v>31</v>
      </c>
      <c r="AR262">
        <v>233.49</v>
      </c>
      <c r="AS262">
        <v>103</v>
      </c>
      <c r="AT262">
        <v>760.96</v>
      </c>
      <c r="AU262">
        <v>22</v>
      </c>
      <c r="AV262">
        <v>188.22</v>
      </c>
      <c r="AW262">
        <v>10</v>
      </c>
      <c r="AX262">
        <v>67.09</v>
      </c>
      <c r="AY262">
        <v>29</v>
      </c>
      <c r="AZ262">
        <v>222.94</v>
      </c>
      <c r="BP262">
        <v>12</v>
      </c>
      <c r="BQ262">
        <v>129.9</v>
      </c>
      <c r="BR262">
        <v>119.29</v>
      </c>
      <c r="BS262">
        <v>1794.15</v>
      </c>
      <c r="BV262">
        <v>0</v>
      </c>
      <c r="BW262">
        <v>0</v>
      </c>
      <c r="BZ262">
        <v>1</v>
      </c>
      <c r="CA262">
        <v>4</v>
      </c>
      <c r="CB262">
        <v>45.88</v>
      </c>
      <c r="CG262">
        <v>261</v>
      </c>
      <c r="CH262">
        <v>261</v>
      </c>
    </row>
    <row r="263" spans="1:86" x14ac:dyDescent="0.35">
      <c r="A263">
        <v>352613</v>
      </c>
      <c r="B263" s="2">
        <v>44218</v>
      </c>
      <c r="C263" s="2">
        <v>44218</v>
      </c>
      <c r="D263">
        <v>116</v>
      </c>
      <c r="E263">
        <v>412.03999999999996</v>
      </c>
      <c r="F263">
        <v>1702.8700000000003</v>
      </c>
      <c r="G263">
        <v>685.64</v>
      </c>
      <c r="H263">
        <v>777.76</v>
      </c>
      <c r="I263">
        <v>174.76999999999998</v>
      </c>
      <c r="J263">
        <v>3398.1899999999996</v>
      </c>
      <c r="K263">
        <v>205.04999999999998</v>
      </c>
      <c r="L263">
        <v>634</v>
      </c>
      <c r="M263">
        <v>210.79</v>
      </c>
      <c r="N263">
        <v>3553.1499999999996</v>
      </c>
      <c r="O263">
        <v>5</v>
      </c>
      <c r="P263">
        <v>6.48</v>
      </c>
      <c r="R263">
        <v>160.69999999999999</v>
      </c>
      <c r="V263">
        <v>2</v>
      </c>
      <c r="W263">
        <v>8</v>
      </c>
      <c r="X263">
        <v>0</v>
      </c>
      <c r="Y263">
        <v>0</v>
      </c>
      <c r="Z263">
        <v>81</v>
      </c>
      <c r="AA263">
        <v>175.79</v>
      </c>
      <c r="AB263">
        <v>8</v>
      </c>
      <c r="AC263">
        <v>12.37</v>
      </c>
      <c r="AD263">
        <v>35</v>
      </c>
      <c r="AE263">
        <v>45.24</v>
      </c>
      <c r="AH263">
        <v>0</v>
      </c>
      <c r="AJ263">
        <v>288.45</v>
      </c>
      <c r="AN263">
        <v>1140.8599999999999</v>
      </c>
      <c r="AO263">
        <v>0</v>
      </c>
      <c r="AP263">
        <v>-5.7599999999999909</v>
      </c>
      <c r="AQ263">
        <v>83</v>
      </c>
      <c r="AR263">
        <v>527.70000000000005</v>
      </c>
      <c r="AS263">
        <v>262</v>
      </c>
      <c r="AT263">
        <v>1800.9</v>
      </c>
      <c r="AU263">
        <v>12</v>
      </c>
      <c r="AV263">
        <v>99.34</v>
      </c>
      <c r="AW263">
        <v>2</v>
      </c>
      <c r="AX263">
        <v>12.9</v>
      </c>
      <c r="AY263">
        <v>56</v>
      </c>
      <c r="AZ263">
        <v>237.27</v>
      </c>
      <c r="BM263">
        <v>2</v>
      </c>
      <c r="BN263">
        <v>49.49</v>
      </c>
      <c r="BP263">
        <v>2</v>
      </c>
      <c r="BQ263">
        <v>16.670000000000002</v>
      </c>
      <c r="BR263">
        <v>15.44</v>
      </c>
      <c r="BS263">
        <v>3606.43</v>
      </c>
      <c r="BV263">
        <v>0</v>
      </c>
      <c r="BW263">
        <v>3.45</v>
      </c>
      <c r="BZ263">
        <v>1</v>
      </c>
      <c r="CA263">
        <v>2</v>
      </c>
      <c r="CB263">
        <v>12.25</v>
      </c>
      <c r="CG263">
        <v>262</v>
      </c>
      <c r="CH263">
        <v>262</v>
      </c>
    </row>
    <row r="264" spans="1:86" x14ac:dyDescent="0.35">
      <c r="A264">
        <v>357150</v>
      </c>
      <c r="B264" s="2">
        <v>44218</v>
      </c>
      <c r="C264" s="2">
        <v>44218</v>
      </c>
      <c r="D264">
        <v>175</v>
      </c>
      <c r="E264">
        <v>656.05</v>
      </c>
      <c r="F264">
        <v>1794.2499999999998</v>
      </c>
      <c r="G264">
        <v>626.79</v>
      </c>
      <c r="H264">
        <v>442.25</v>
      </c>
      <c r="I264">
        <v>93.83</v>
      </c>
      <c r="J264">
        <v>3235.6399999999994</v>
      </c>
      <c r="K264">
        <v>270.12000000000006</v>
      </c>
      <c r="L264">
        <v>555</v>
      </c>
      <c r="M264">
        <v>270.96000000000004</v>
      </c>
      <c r="N264">
        <v>3364.9099999999994</v>
      </c>
      <c r="O264">
        <v>0</v>
      </c>
      <c r="P264">
        <v>0</v>
      </c>
      <c r="R264">
        <v>130.10999999999999</v>
      </c>
      <c r="V264">
        <v>2</v>
      </c>
      <c r="W264">
        <v>40</v>
      </c>
      <c r="X264">
        <v>0</v>
      </c>
      <c r="Y264">
        <v>0</v>
      </c>
      <c r="Z264">
        <v>50</v>
      </c>
      <c r="AA264">
        <v>142.6</v>
      </c>
      <c r="AB264">
        <v>6</v>
      </c>
      <c r="AC264">
        <v>47.82</v>
      </c>
      <c r="AD264">
        <v>9</v>
      </c>
      <c r="AE264">
        <v>10.36</v>
      </c>
      <c r="AH264">
        <v>0</v>
      </c>
      <c r="AJ264">
        <v>280.52999999999997</v>
      </c>
      <c r="AN264">
        <v>2557</v>
      </c>
      <c r="AO264">
        <v>0</v>
      </c>
      <c r="AP264">
        <v>1695.26</v>
      </c>
      <c r="AQ264">
        <v>93</v>
      </c>
      <c r="AR264">
        <v>612.39</v>
      </c>
      <c r="AS264">
        <v>213</v>
      </c>
      <c r="AT264">
        <v>1757.41</v>
      </c>
      <c r="AU264">
        <v>11</v>
      </c>
      <c r="AV264">
        <v>119.21</v>
      </c>
      <c r="AW264">
        <v>5</v>
      </c>
      <c r="AX264">
        <v>42.09</v>
      </c>
      <c r="AY264">
        <v>83</v>
      </c>
      <c r="AZ264">
        <v>433.45</v>
      </c>
      <c r="BS264">
        <v>3505.76</v>
      </c>
      <c r="BV264">
        <v>0</v>
      </c>
      <c r="BW264">
        <v>0</v>
      </c>
      <c r="BZ264">
        <v>1</v>
      </c>
      <c r="CG264">
        <v>263</v>
      </c>
      <c r="CH264">
        <v>263</v>
      </c>
    </row>
    <row r="265" spans="1:86" x14ac:dyDescent="0.35">
      <c r="A265">
        <v>359606</v>
      </c>
      <c r="B265" s="2">
        <v>44218</v>
      </c>
      <c r="C265" s="2">
        <v>44218</v>
      </c>
      <c r="D265">
        <v>48</v>
      </c>
      <c r="E265">
        <v>155.12</v>
      </c>
      <c r="F265">
        <v>645.79</v>
      </c>
      <c r="G265">
        <v>248.37</v>
      </c>
      <c r="H265">
        <v>382.05</v>
      </c>
      <c r="I265">
        <v>40.730000000000004</v>
      </c>
      <c r="J265">
        <v>1294.3400000000001</v>
      </c>
      <c r="K265">
        <v>47.11</v>
      </c>
      <c r="L265">
        <v>260</v>
      </c>
      <c r="M265">
        <v>49.1</v>
      </c>
      <c r="N265">
        <v>1388.18</v>
      </c>
      <c r="O265">
        <v>0</v>
      </c>
      <c r="P265">
        <v>0</v>
      </c>
      <c r="R265">
        <v>95.83</v>
      </c>
      <c r="V265">
        <v>1</v>
      </c>
      <c r="W265">
        <v>15</v>
      </c>
      <c r="X265">
        <v>0</v>
      </c>
      <c r="Y265">
        <v>0</v>
      </c>
      <c r="Z265">
        <v>19</v>
      </c>
      <c r="AA265">
        <v>47.17</v>
      </c>
      <c r="AB265">
        <v>1</v>
      </c>
      <c r="AC265">
        <v>2.38</v>
      </c>
      <c r="AD265">
        <v>0</v>
      </c>
      <c r="AE265">
        <v>0</v>
      </c>
      <c r="AH265">
        <v>0</v>
      </c>
      <c r="AJ265">
        <v>119.4</v>
      </c>
      <c r="AN265">
        <v>239</v>
      </c>
      <c r="AO265">
        <v>0</v>
      </c>
      <c r="AP265">
        <v>138.51</v>
      </c>
      <c r="AQ265">
        <v>26</v>
      </c>
      <c r="AR265">
        <v>134.96</v>
      </c>
      <c r="AS265">
        <v>126</v>
      </c>
      <c r="AT265">
        <v>803.11</v>
      </c>
      <c r="AU265">
        <v>20</v>
      </c>
      <c r="AV265">
        <v>104.68</v>
      </c>
      <c r="AW265">
        <v>5</v>
      </c>
      <c r="AX265">
        <v>15.76</v>
      </c>
      <c r="AY265">
        <v>45</v>
      </c>
      <c r="AZ265">
        <v>246.26</v>
      </c>
      <c r="BP265">
        <v>1</v>
      </c>
      <c r="BQ265">
        <v>9.8699999999999992</v>
      </c>
      <c r="BR265">
        <v>9.06</v>
      </c>
      <c r="BS265">
        <v>1341.45</v>
      </c>
      <c r="BV265">
        <v>9.5199999999999818</v>
      </c>
      <c r="BW265">
        <v>9.52</v>
      </c>
      <c r="BZ265">
        <v>1</v>
      </c>
      <c r="CA265">
        <v>6</v>
      </c>
      <c r="CB265">
        <v>60.72</v>
      </c>
      <c r="CG265">
        <v>264</v>
      </c>
      <c r="CH265">
        <v>264</v>
      </c>
    </row>
    <row r="266" spans="1:86" x14ac:dyDescent="0.35">
      <c r="A266">
        <v>358682</v>
      </c>
      <c r="B266" s="2">
        <v>44218</v>
      </c>
      <c r="C266" s="2">
        <v>44218</v>
      </c>
      <c r="D266">
        <v>75</v>
      </c>
      <c r="E266">
        <v>244.85</v>
      </c>
      <c r="F266">
        <v>1134.4299999999998</v>
      </c>
      <c r="G266">
        <v>315.73</v>
      </c>
      <c r="H266">
        <v>756.97</v>
      </c>
      <c r="I266">
        <v>110.29</v>
      </c>
      <c r="J266">
        <v>2308.4800000000005</v>
      </c>
      <c r="K266">
        <v>91.93</v>
      </c>
      <c r="L266">
        <v>376</v>
      </c>
      <c r="M266">
        <v>94.92</v>
      </c>
      <c r="N266">
        <v>2446.2300000000005</v>
      </c>
      <c r="O266">
        <v>0</v>
      </c>
      <c r="P266">
        <v>0</v>
      </c>
      <c r="R266">
        <v>140.74</v>
      </c>
      <c r="V266">
        <v>20</v>
      </c>
      <c r="W266">
        <v>100</v>
      </c>
      <c r="X266">
        <v>0</v>
      </c>
      <c r="Y266">
        <v>0</v>
      </c>
      <c r="Z266">
        <v>39</v>
      </c>
      <c r="AA266">
        <v>83.31</v>
      </c>
      <c r="AB266">
        <v>3</v>
      </c>
      <c r="AC266">
        <v>17.3</v>
      </c>
      <c r="AD266">
        <v>10</v>
      </c>
      <c r="AE266">
        <v>11.67</v>
      </c>
      <c r="AH266">
        <v>0</v>
      </c>
      <c r="AJ266">
        <v>213.58</v>
      </c>
      <c r="AN266">
        <v>426.51</v>
      </c>
      <c r="AO266">
        <v>0</v>
      </c>
      <c r="AP266">
        <v>5.2300000000000182</v>
      </c>
      <c r="AQ266">
        <v>52</v>
      </c>
      <c r="AR266">
        <v>432.56</v>
      </c>
      <c r="AS266">
        <v>172</v>
      </c>
      <c r="AT266">
        <v>1218.1300000000001</v>
      </c>
      <c r="AU266">
        <v>24</v>
      </c>
      <c r="AV266">
        <v>176.45</v>
      </c>
      <c r="AW266">
        <v>9</v>
      </c>
      <c r="AX266">
        <v>39.9</v>
      </c>
      <c r="AY266">
        <v>47</v>
      </c>
      <c r="AZ266">
        <v>231.33</v>
      </c>
      <c r="BP266">
        <v>10</v>
      </c>
      <c r="BQ266">
        <v>137.61000000000001</v>
      </c>
      <c r="BR266">
        <v>126.37</v>
      </c>
      <c r="BS266">
        <v>2400.41</v>
      </c>
      <c r="BV266">
        <v>0</v>
      </c>
      <c r="BW266">
        <v>0</v>
      </c>
      <c r="BZ266">
        <v>1</v>
      </c>
      <c r="CA266">
        <v>3</v>
      </c>
      <c r="CB266">
        <v>56.73</v>
      </c>
      <c r="CG266">
        <v>265</v>
      </c>
      <c r="CH266">
        <v>265</v>
      </c>
    </row>
    <row r="267" spans="1:86" x14ac:dyDescent="0.35">
      <c r="A267">
        <v>352613</v>
      </c>
      <c r="B267" s="2">
        <v>44217</v>
      </c>
      <c r="C267" s="2">
        <v>44217</v>
      </c>
      <c r="D267">
        <v>112</v>
      </c>
      <c r="E267">
        <v>387.68</v>
      </c>
      <c r="F267">
        <v>1712.7099999999996</v>
      </c>
      <c r="G267">
        <v>496.27</v>
      </c>
      <c r="H267">
        <v>733.45</v>
      </c>
      <c r="I267">
        <v>182.94</v>
      </c>
      <c r="J267">
        <v>3175.5099999999998</v>
      </c>
      <c r="K267">
        <v>198.64999999999998</v>
      </c>
      <c r="L267">
        <v>624</v>
      </c>
      <c r="M267">
        <v>201.89999999999998</v>
      </c>
      <c r="N267">
        <v>3316.3199999999997</v>
      </c>
      <c r="O267">
        <v>0</v>
      </c>
      <c r="P267">
        <v>0</v>
      </c>
      <c r="R267">
        <v>144.06</v>
      </c>
      <c r="V267">
        <v>6</v>
      </c>
      <c r="W267">
        <v>70</v>
      </c>
      <c r="X267">
        <v>0</v>
      </c>
      <c r="Y267">
        <v>0</v>
      </c>
      <c r="Z267">
        <v>112</v>
      </c>
      <c r="AA267">
        <v>314.45999999999998</v>
      </c>
      <c r="AB267">
        <v>8</v>
      </c>
      <c r="AC267">
        <v>819.26</v>
      </c>
      <c r="AD267">
        <v>75</v>
      </c>
      <c r="AE267">
        <v>82.67</v>
      </c>
      <c r="AH267">
        <v>0</v>
      </c>
      <c r="AJ267">
        <v>270.20999999999998</v>
      </c>
      <c r="AN267">
        <v>2110.86</v>
      </c>
      <c r="AO267">
        <v>0</v>
      </c>
      <c r="AP267">
        <v>1123.1400000000001</v>
      </c>
      <c r="AQ267">
        <v>82</v>
      </c>
      <c r="AR267">
        <v>538.04999999999995</v>
      </c>
      <c r="AS267">
        <v>265</v>
      </c>
      <c r="AT267">
        <v>1690.53</v>
      </c>
      <c r="AU267">
        <v>12</v>
      </c>
      <c r="AV267">
        <v>83.16</v>
      </c>
      <c r="AW267">
        <v>11</v>
      </c>
      <c r="AX267">
        <v>66.930000000000007</v>
      </c>
      <c r="AY267">
        <v>54</v>
      </c>
      <c r="AZ267">
        <v>273.37</v>
      </c>
      <c r="BP267">
        <v>3</v>
      </c>
      <c r="BQ267">
        <v>25.61</v>
      </c>
      <c r="BR267">
        <v>5.47</v>
      </c>
      <c r="BS267">
        <v>3370.97</v>
      </c>
      <c r="BV267">
        <v>7.9600000000000364</v>
      </c>
      <c r="BW267">
        <v>4.51</v>
      </c>
      <c r="BZ267">
        <v>1</v>
      </c>
      <c r="CA267">
        <v>4</v>
      </c>
      <c r="CB267">
        <v>45.55</v>
      </c>
      <c r="CG267">
        <v>266</v>
      </c>
      <c r="CH267">
        <v>266</v>
      </c>
    </row>
    <row r="268" spans="1:86" x14ac:dyDescent="0.35">
      <c r="A268">
        <v>357150</v>
      </c>
      <c r="B268" s="2">
        <v>44217</v>
      </c>
      <c r="C268" s="2">
        <v>44217</v>
      </c>
      <c r="D268">
        <v>114</v>
      </c>
      <c r="E268">
        <v>412.36</v>
      </c>
      <c r="F268">
        <v>1468.97</v>
      </c>
      <c r="G268">
        <v>372.34</v>
      </c>
      <c r="H268">
        <v>475.45</v>
      </c>
      <c r="I268">
        <v>71.31</v>
      </c>
      <c r="J268">
        <v>2527.1899999999996</v>
      </c>
      <c r="K268">
        <v>208.95999999999998</v>
      </c>
      <c r="L268">
        <v>477</v>
      </c>
      <c r="M268">
        <v>214.57</v>
      </c>
      <c r="N268">
        <v>2643.6099999999997</v>
      </c>
      <c r="O268">
        <v>0</v>
      </c>
      <c r="P268">
        <v>0</v>
      </c>
      <c r="R268">
        <v>122.02999999999999</v>
      </c>
      <c r="V268">
        <v>3</v>
      </c>
      <c r="W268">
        <v>55</v>
      </c>
      <c r="X268">
        <v>0</v>
      </c>
      <c r="Y268">
        <v>0</v>
      </c>
      <c r="Z268">
        <v>53</v>
      </c>
      <c r="AA268">
        <v>245.56</v>
      </c>
      <c r="AB268">
        <v>6</v>
      </c>
      <c r="AC268">
        <v>2.58</v>
      </c>
      <c r="AD268">
        <v>19</v>
      </c>
      <c r="AE268">
        <v>35.6</v>
      </c>
      <c r="AH268">
        <v>0</v>
      </c>
      <c r="AJ268">
        <v>219.13</v>
      </c>
      <c r="AN268">
        <v>0</v>
      </c>
      <c r="AO268">
        <v>0</v>
      </c>
      <c r="AP268">
        <v>-805.01</v>
      </c>
      <c r="AQ268">
        <v>81</v>
      </c>
      <c r="AR268">
        <v>569.17999999999995</v>
      </c>
      <c r="AS268">
        <v>186</v>
      </c>
      <c r="AT268">
        <v>1284.46</v>
      </c>
      <c r="AU268">
        <v>13</v>
      </c>
      <c r="AV268">
        <v>107.96</v>
      </c>
      <c r="AW268">
        <v>3</v>
      </c>
      <c r="AX268">
        <v>18.100000000000001</v>
      </c>
      <c r="AY268">
        <v>48</v>
      </c>
      <c r="AZ268">
        <v>225.57</v>
      </c>
      <c r="BS268">
        <v>2736.15</v>
      </c>
      <c r="BV268">
        <v>0</v>
      </c>
      <c r="BW268">
        <v>0</v>
      </c>
      <c r="BZ268">
        <v>1</v>
      </c>
      <c r="CG268">
        <v>267</v>
      </c>
      <c r="CH268">
        <v>267</v>
      </c>
    </row>
    <row r="269" spans="1:86" x14ac:dyDescent="0.35">
      <c r="A269">
        <v>358682</v>
      </c>
      <c r="B269" s="2">
        <v>44217</v>
      </c>
      <c r="C269" s="2">
        <v>44217</v>
      </c>
      <c r="D269">
        <v>75</v>
      </c>
      <c r="E269">
        <v>260.75</v>
      </c>
      <c r="F269">
        <v>1002.74</v>
      </c>
      <c r="G269">
        <v>205.96</v>
      </c>
      <c r="H269">
        <v>784.12</v>
      </c>
      <c r="I269">
        <v>51.440000000000005</v>
      </c>
      <c r="J269">
        <v>2092.8999999999996</v>
      </c>
      <c r="K269">
        <v>38.81</v>
      </c>
      <c r="L269">
        <v>367</v>
      </c>
      <c r="M269">
        <v>42.81</v>
      </c>
      <c r="N269">
        <v>2196.9899999999998</v>
      </c>
      <c r="O269">
        <v>0</v>
      </c>
      <c r="P269">
        <v>0</v>
      </c>
      <c r="R269">
        <v>108.09</v>
      </c>
      <c r="V269">
        <v>0</v>
      </c>
      <c r="W269">
        <v>0</v>
      </c>
      <c r="X269">
        <v>0</v>
      </c>
      <c r="Y269">
        <v>0</v>
      </c>
      <c r="Z269">
        <v>44</v>
      </c>
      <c r="AA269">
        <v>125.1</v>
      </c>
      <c r="AB269">
        <v>5</v>
      </c>
      <c r="AC269">
        <v>36.94</v>
      </c>
      <c r="AD269">
        <v>12</v>
      </c>
      <c r="AE269">
        <v>15.55</v>
      </c>
      <c r="AH269">
        <v>0</v>
      </c>
      <c r="AJ269">
        <v>189.68</v>
      </c>
      <c r="AN269">
        <v>536</v>
      </c>
      <c r="AO269">
        <v>0</v>
      </c>
      <c r="AP269">
        <v>117.47000000000003</v>
      </c>
      <c r="AQ269">
        <v>53</v>
      </c>
      <c r="AR269">
        <v>393.52</v>
      </c>
      <c r="AS269">
        <v>152</v>
      </c>
      <c r="AT269">
        <v>956.8</v>
      </c>
      <c r="AU269">
        <v>20</v>
      </c>
      <c r="AV269">
        <v>148.65</v>
      </c>
      <c r="AW269">
        <v>11</v>
      </c>
      <c r="AX269">
        <v>74.39</v>
      </c>
      <c r="AY269">
        <v>48</v>
      </c>
      <c r="AZ269">
        <v>209.96</v>
      </c>
      <c r="BM269">
        <v>1</v>
      </c>
      <c r="BN269">
        <v>30.73</v>
      </c>
      <c r="BP269">
        <v>6</v>
      </c>
      <c r="BQ269">
        <v>75.77</v>
      </c>
      <c r="BR269">
        <v>71.77</v>
      </c>
      <c r="BS269">
        <v>2136.1999999999998</v>
      </c>
      <c r="BV269">
        <v>-9.7800000000002001</v>
      </c>
      <c r="BW269">
        <v>-4.8899999999999997</v>
      </c>
      <c r="BZ269">
        <v>1</v>
      </c>
      <c r="CA269">
        <v>2</v>
      </c>
      <c r="CB269">
        <v>17.93</v>
      </c>
      <c r="CG269">
        <v>268</v>
      </c>
      <c r="CH269">
        <v>268</v>
      </c>
    </row>
    <row r="270" spans="1:86" x14ac:dyDescent="0.35">
      <c r="A270">
        <v>359606</v>
      </c>
      <c r="B270" s="2">
        <v>44217</v>
      </c>
      <c r="C270" s="2">
        <v>44217</v>
      </c>
      <c r="D270">
        <v>39</v>
      </c>
      <c r="E270">
        <v>134.51</v>
      </c>
      <c r="F270">
        <v>468.42999999999995</v>
      </c>
      <c r="G270">
        <v>148.61000000000001</v>
      </c>
      <c r="H270">
        <v>280.95</v>
      </c>
      <c r="I270">
        <v>12.83</v>
      </c>
      <c r="J270">
        <v>921.6400000000001</v>
      </c>
      <c r="K270">
        <v>46.65</v>
      </c>
      <c r="L270">
        <v>179</v>
      </c>
      <c r="M270">
        <v>46.65</v>
      </c>
      <c r="N270">
        <v>963.40000000000009</v>
      </c>
      <c r="O270">
        <v>0</v>
      </c>
      <c r="P270">
        <v>0</v>
      </c>
      <c r="R270">
        <v>41.760000000000005</v>
      </c>
      <c r="V270">
        <v>0</v>
      </c>
      <c r="W270">
        <v>0</v>
      </c>
      <c r="X270">
        <v>0</v>
      </c>
      <c r="Y270">
        <v>0</v>
      </c>
      <c r="Z270">
        <v>24</v>
      </c>
      <c r="AA270">
        <v>48.52</v>
      </c>
      <c r="AB270">
        <v>5</v>
      </c>
      <c r="AC270">
        <v>133.30000000000001</v>
      </c>
      <c r="AD270">
        <v>1</v>
      </c>
      <c r="AE270">
        <v>2.59</v>
      </c>
      <c r="AH270">
        <v>0</v>
      </c>
      <c r="AJ270">
        <v>86.16</v>
      </c>
      <c r="AN270">
        <v>470</v>
      </c>
      <c r="AO270">
        <v>0</v>
      </c>
      <c r="AP270">
        <v>279.53999999999996</v>
      </c>
      <c r="AQ270">
        <v>20</v>
      </c>
      <c r="AR270">
        <v>133.13999999999999</v>
      </c>
      <c r="AS270">
        <v>76</v>
      </c>
      <c r="AT270">
        <v>433.21</v>
      </c>
      <c r="AU270">
        <v>13</v>
      </c>
      <c r="AV270">
        <v>78.81</v>
      </c>
      <c r="AW270">
        <v>3</v>
      </c>
      <c r="AX270">
        <v>5.84</v>
      </c>
      <c r="AY270">
        <v>20</v>
      </c>
      <c r="AZ270">
        <v>87.71</v>
      </c>
      <c r="BP270">
        <v>6</v>
      </c>
      <c r="BQ270">
        <v>47.54</v>
      </c>
      <c r="BR270">
        <v>43.65</v>
      </c>
      <c r="BS270">
        <v>968.29</v>
      </c>
      <c r="BV270">
        <v>9.5199999999999818</v>
      </c>
      <c r="BW270">
        <v>9.52</v>
      </c>
      <c r="BZ270">
        <v>1</v>
      </c>
      <c r="CA270">
        <v>4</v>
      </c>
      <c r="CB270">
        <v>46.17</v>
      </c>
      <c r="CE270">
        <v>1</v>
      </c>
      <c r="CF270">
        <v>31.57</v>
      </c>
      <c r="CG270">
        <v>269</v>
      </c>
      <c r="CH270">
        <v>269</v>
      </c>
    </row>
    <row r="271" spans="1:86" x14ac:dyDescent="0.35">
      <c r="A271">
        <v>354030</v>
      </c>
      <c r="B271" s="2">
        <v>44219</v>
      </c>
      <c r="C271" s="2">
        <v>44219</v>
      </c>
      <c r="D271">
        <v>130</v>
      </c>
      <c r="E271" s="1">
        <v>494.46</v>
      </c>
      <c r="F271" s="1">
        <v>1671.48</v>
      </c>
      <c r="G271" s="1">
        <v>874.36</v>
      </c>
      <c r="H271" s="1">
        <v>681.62</v>
      </c>
      <c r="I271" s="1">
        <v>133.24</v>
      </c>
      <c r="J271" s="1">
        <v>3509.37</v>
      </c>
      <c r="K271" s="1">
        <v>199.34</v>
      </c>
      <c r="L271">
        <v>531</v>
      </c>
      <c r="M271" s="1">
        <v>206.21</v>
      </c>
      <c r="N271" s="1">
        <v>3635.85</v>
      </c>
      <c r="O271">
        <v>1</v>
      </c>
      <c r="P271" s="1">
        <v>3.29</v>
      </c>
      <c r="Q271">
        <v>6</v>
      </c>
      <c r="R271" s="1">
        <v>5.3</v>
      </c>
      <c r="S271">
        <v>36</v>
      </c>
      <c r="T271" s="1">
        <v>69.599999999999994</v>
      </c>
      <c r="U271" s="1">
        <v>55.16</v>
      </c>
      <c r="V271">
        <v>3</v>
      </c>
      <c r="W271" s="1">
        <v>60</v>
      </c>
      <c r="X271">
        <v>6</v>
      </c>
      <c r="Y271" s="1">
        <v>0</v>
      </c>
      <c r="Z271">
        <v>94</v>
      </c>
      <c r="AA271" s="1">
        <v>328.17</v>
      </c>
      <c r="AB271">
        <v>3</v>
      </c>
      <c r="AC271" s="1">
        <v>9.4700000000000006</v>
      </c>
      <c r="AD271">
        <v>4</v>
      </c>
      <c r="AE271" s="1">
        <v>0</v>
      </c>
      <c r="AF271" s="1">
        <v>0</v>
      </c>
      <c r="AG271" s="1">
        <v>0</v>
      </c>
      <c r="AH271" s="1">
        <v>0</v>
      </c>
      <c r="AI271" s="1">
        <v>0</v>
      </c>
      <c r="AJ271" s="1">
        <v>222.42</v>
      </c>
      <c r="AL271" s="1">
        <v>3708.71</v>
      </c>
      <c r="AM271" s="1">
        <v>0</v>
      </c>
      <c r="AN271" s="1">
        <v>439</v>
      </c>
      <c r="AO271" s="1">
        <v>0</v>
      </c>
      <c r="AP271" s="1">
        <v>-15.65</v>
      </c>
      <c r="AQ271">
        <v>68</v>
      </c>
      <c r="AR271" s="1">
        <v>529.86</v>
      </c>
      <c r="AS271">
        <v>237</v>
      </c>
      <c r="AT271" s="1">
        <v>1884.37</v>
      </c>
      <c r="AU271">
        <v>25</v>
      </c>
      <c r="AV271" s="1">
        <v>250.33</v>
      </c>
      <c r="AW271">
        <v>4</v>
      </c>
      <c r="AX271" s="1">
        <v>34.39</v>
      </c>
      <c r="AY271">
        <v>77</v>
      </c>
      <c r="AZ271" s="1">
        <v>429.63</v>
      </c>
      <c r="BE271">
        <v>17</v>
      </c>
      <c r="BF271" s="1">
        <v>137.22</v>
      </c>
      <c r="BG271">
        <v>2</v>
      </c>
      <c r="BH271" s="1">
        <v>31.57</v>
      </c>
      <c r="BK271">
        <v>12</v>
      </c>
      <c r="BL271" s="1">
        <v>157.26</v>
      </c>
      <c r="BM271">
        <v>1</v>
      </c>
      <c r="BN271" s="1">
        <v>4.76</v>
      </c>
      <c r="BO271" s="1">
        <v>4.49</v>
      </c>
      <c r="BP271">
        <v>2</v>
      </c>
      <c r="BQ271" s="1">
        <v>19.03</v>
      </c>
      <c r="BR271" s="1">
        <v>23.85</v>
      </c>
      <c r="BZ271">
        <v>1</v>
      </c>
      <c r="CA271">
        <v>5</v>
      </c>
      <c r="CB271" s="1">
        <v>58.06</v>
      </c>
      <c r="CG271">
        <v>270</v>
      </c>
      <c r="CH271">
        <v>270</v>
      </c>
    </row>
    <row r="272" spans="1:86" x14ac:dyDescent="0.35">
      <c r="A272">
        <v>355439</v>
      </c>
      <c r="B272" s="2">
        <v>44219</v>
      </c>
      <c r="C272" s="2">
        <v>44219</v>
      </c>
      <c r="D272">
        <v>188</v>
      </c>
      <c r="E272" s="1">
        <v>614.89</v>
      </c>
      <c r="F272" s="1">
        <v>1803.68</v>
      </c>
      <c r="G272" s="1">
        <v>902.32</v>
      </c>
      <c r="H272" s="1">
        <v>864.14</v>
      </c>
      <c r="I272" s="1">
        <v>86.97</v>
      </c>
      <c r="J272" s="1">
        <v>3888.94</v>
      </c>
      <c r="K272" s="1">
        <v>0</v>
      </c>
      <c r="L272">
        <v>631</v>
      </c>
      <c r="M272" s="1">
        <v>0</v>
      </c>
      <c r="N272" s="1">
        <v>4030.83</v>
      </c>
      <c r="O272">
        <v>0</v>
      </c>
      <c r="P272" s="1">
        <v>0</v>
      </c>
      <c r="Q272">
        <v>11</v>
      </c>
      <c r="R272" s="1">
        <v>3.47</v>
      </c>
      <c r="S272">
        <v>51</v>
      </c>
      <c r="T272" s="1">
        <v>95.1</v>
      </c>
      <c r="U272" s="1">
        <v>43.32</v>
      </c>
      <c r="V272">
        <v>0</v>
      </c>
      <c r="W272" s="1">
        <v>0</v>
      </c>
      <c r="X272">
        <v>13</v>
      </c>
      <c r="Y272" s="1">
        <v>0</v>
      </c>
      <c r="Z272">
        <v>103</v>
      </c>
      <c r="AA272" s="1">
        <v>258.29000000000002</v>
      </c>
      <c r="AB272">
        <v>8</v>
      </c>
      <c r="AC272" s="1">
        <v>16.920000000000002</v>
      </c>
      <c r="AD272">
        <v>2</v>
      </c>
      <c r="AE272" s="1">
        <v>5.38</v>
      </c>
      <c r="AF272" s="1">
        <v>0.05</v>
      </c>
      <c r="AG272" s="1">
        <v>0</v>
      </c>
      <c r="AH272" s="1">
        <v>0</v>
      </c>
      <c r="AI272" s="1">
        <v>0</v>
      </c>
      <c r="AJ272" s="1">
        <v>311.22000000000003</v>
      </c>
      <c r="AL272" s="1">
        <v>3888.99</v>
      </c>
      <c r="AM272" s="1">
        <v>0</v>
      </c>
      <c r="AN272" s="1">
        <v>526</v>
      </c>
      <c r="AO272" s="1">
        <v>0</v>
      </c>
      <c r="AP272" s="1">
        <v>8.75</v>
      </c>
      <c r="AQ272">
        <v>73</v>
      </c>
      <c r="AR272" s="1">
        <v>479.23</v>
      </c>
      <c r="AS272">
        <v>288</v>
      </c>
      <c r="AT272" s="1">
        <v>2073.48</v>
      </c>
      <c r="AU272">
        <v>34</v>
      </c>
      <c r="AV272" s="1">
        <v>323.82</v>
      </c>
      <c r="AW272">
        <v>4</v>
      </c>
      <c r="AX272" s="1">
        <v>20.96</v>
      </c>
      <c r="AY272">
        <v>63</v>
      </c>
      <c r="AZ272" s="1">
        <v>372.18</v>
      </c>
      <c r="BA272">
        <v>1</v>
      </c>
      <c r="BB272" s="1">
        <v>9.98</v>
      </c>
      <c r="BE272">
        <v>19</v>
      </c>
      <c r="BF272" s="1">
        <v>98.87</v>
      </c>
      <c r="BG272">
        <v>1</v>
      </c>
      <c r="BH272" s="1">
        <v>7.47</v>
      </c>
      <c r="BK272">
        <v>20</v>
      </c>
      <c r="BL272" s="1">
        <v>158.03</v>
      </c>
      <c r="BM272">
        <v>1</v>
      </c>
      <c r="BN272" s="1">
        <v>7.11</v>
      </c>
      <c r="BO272" s="1">
        <v>6.58</v>
      </c>
      <c r="BP272">
        <v>2</v>
      </c>
      <c r="BQ272" s="1">
        <v>26.24</v>
      </c>
      <c r="BR272" s="1">
        <v>24.3</v>
      </c>
      <c r="BZ272">
        <v>1</v>
      </c>
      <c r="CA272">
        <v>7</v>
      </c>
      <c r="CB272" s="1">
        <v>105.59</v>
      </c>
      <c r="CG272">
        <v>271</v>
      </c>
      <c r="CH272">
        <v>271</v>
      </c>
    </row>
    <row r="273" spans="1:86" x14ac:dyDescent="0.35">
      <c r="A273">
        <v>350432</v>
      </c>
      <c r="B273" s="2">
        <v>44220</v>
      </c>
      <c r="C273" s="2">
        <v>44220</v>
      </c>
      <c r="D273">
        <v>159</v>
      </c>
      <c r="E273" s="1">
        <v>530.54</v>
      </c>
      <c r="F273" s="1">
        <v>1649.86</v>
      </c>
      <c r="G273" s="1">
        <v>411.11</v>
      </c>
      <c r="H273" s="1">
        <v>867.4</v>
      </c>
      <c r="I273" s="1">
        <v>91.55</v>
      </c>
      <c r="J273" s="1">
        <v>3284.07</v>
      </c>
      <c r="K273" s="1">
        <v>646.04</v>
      </c>
      <c r="L273">
        <v>617</v>
      </c>
      <c r="M273" s="1">
        <v>658.24</v>
      </c>
      <c r="N273" s="1">
        <v>3389.95</v>
      </c>
      <c r="O273">
        <v>0</v>
      </c>
      <c r="P273" s="1">
        <v>0</v>
      </c>
      <c r="Q273">
        <v>9</v>
      </c>
      <c r="R273" s="1">
        <v>1.44</v>
      </c>
      <c r="S273">
        <v>26</v>
      </c>
      <c r="T273" s="1">
        <v>56.68</v>
      </c>
      <c r="U273" s="1">
        <v>59.96</v>
      </c>
      <c r="V273">
        <v>0</v>
      </c>
      <c r="W273" s="1">
        <v>0</v>
      </c>
      <c r="X273">
        <v>9</v>
      </c>
      <c r="Y273" s="1">
        <v>0</v>
      </c>
      <c r="Z273">
        <v>116</v>
      </c>
      <c r="AA273" s="1">
        <v>320.14</v>
      </c>
      <c r="AB273">
        <v>16</v>
      </c>
      <c r="AC273" s="1">
        <v>35.71</v>
      </c>
      <c r="AD273">
        <v>0</v>
      </c>
      <c r="AE273" s="1">
        <v>0</v>
      </c>
      <c r="AF273" s="1">
        <v>0</v>
      </c>
      <c r="AG273" s="1">
        <v>0</v>
      </c>
      <c r="AH273" s="1">
        <v>0</v>
      </c>
      <c r="AI273" s="1">
        <v>0</v>
      </c>
      <c r="AJ273" s="1">
        <v>349.66</v>
      </c>
      <c r="AL273" s="1">
        <v>3930.11</v>
      </c>
      <c r="AM273" s="1">
        <v>0</v>
      </c>
      <c r="AN273" s="1">
        <v>586</v>
      </c>
      <c r="AO273" s="1">
        <v>0</v>
      </c>
      <c r="AP273" s="1">
        <v>4.58</v>
      </c>
      <c r="AQ273">
        <v>92</v>
      </c>
      <c r="AR273" s="1">
        <v>634.59</v>
      </c>
      <c r="AS273">
        <v>275</v>
      </c>
      <c r="AT273" s="1">
        <v>2046.35</v>
      </c>
      <c r="AU273">
        <v>43</v>
      </c>
      <c r="AV273" s="1">
        <v>363.59</v>
      </c>
      <c r="AW273">
        <v>9</v>
      </c>
      <c r="AX273" s="1">
        <v>65.430000000000007</v>
      </c>
      <c r="AY273">
        <v>36</v>
      </c>
      <c r="AZ273" s="1">
        <v>212.37</v>
      </c>
      <c r="BC273">
        <v>3</v>
      </c>
      <c r="BD273" s="1">
        <v>23.54</v>
      </c>
      <c r="BE273">
        <v>9</v>
      </c>
      <c r="BF273" s="1">
        <v>75.61</v>
      </c>
      <c r="BG273">
        <v>2</v>
      </c>
      <c r="BH273" s="1">
        <v>26.97</v>
      </c>
      <c r="BK273">
        <v>7</v>
      </c>
      <c r="BL273" s="1">
        <v>57.23</v>
      </c>
      <c r="BM273">
        <v>1</v>
      </c>
      <c r="BN273" s="1">
        <v>28.34</v>
      </c>
      <c r="BO273" s="1">
        <v>26.02</v>
      </c>
      <c r="BP273">
        <v>9</v>
      </c>
      <c r="BQ273" s="1">
        <v>91.02</v>
      </c>
      <c r="BR273" s="1">
        <v>76.92</v>
      </c>
      <c r="BZ273">
        <v>1</v>
      </c>
      <c r="CA273">
        <v>5</v>
      </c>
      <c r="CB273" s="1">
        <v>73.31</v>
      </c>
      <c r="CG273">
        <v>272</v>
      </c>
      <c r="CH273">
        <v>272</v>
      </c>
    </row>
    <row r="274" spans="1:86" x14ac:dyDescent="0.35">
      <c r="A274">
        <v>350437</v>
      </c>
      <c r="B274" s="2">
        <v>44220</v>
      </c>
      <c r="C274" s="2">
        <v>44220</v>
      </c>
      <c r="D274">
        <v>85</v>
      </c>
      <c r="E274" s="1">
        <v>303.14</v>
      </c>
      <c r="F274" s="1">
        <v>1120.73</v>
      </c>
      <c r="G274" s="1">
        <v>688.51</v>
      </c>
      <c r="H274" s="1">
        <v>578.80999999999995</v>
      </c>
      <c r="I274" s="1">
        <v>77.38</v>
      </c>
      <c r="J274" s="1">
        <v>2591.69</v>
      </c>
      <c r="K274" s="1">
        <v>0</v>
      </c>
      <c r="L274">
        <v>396</v>
      </c>
      <c r="M274" s="1">
        <v>0</v>
      </c>
      <c r="N274" s="1">
        <v>2677.35</v>
      </c>
      <c r="O274">
        <v>1</v>
      </c>
      <c r="P274" s="1">
        <v>2.98</v>
      </c>
      <c r="Q274">
        <v>6</v>
      </c>
      <c r="R274" s="1">
        <v>9.0399999999999991</v>
      </c>
      <c r="S274">
        <v>24</v>
      </c>
      <c r="T274" s="1">
        <v>48.3</v>
      </c>
      <c r="U274" s="1">
        <v>25.34</v>
      </c>
      <c r="V274">
        <v>1</v>
      </c>
      <c r="W274" s="1">
        <v>10</v>
      </c>
      <c r="X274">
        <v>15</v>
      </c>
      <c r="Y274" s="1">
        <v>0</v>
      </c>
      <c r="Z274">
        <v>44</v>
      </c>
      <c r="AA274" s="1">
        <v>106.2</v>
      </c>
      <c r="AB274">
        <v>11</v>
      </c>
      <c r="AC274" s="1">
        <v>28.44</v>
      </c>
      <c r="AD274">
        <v>6</v>
      </c>
      <c r="AE274" s="1">
        <v>21.49</v>
      </c>
      <c r="AF274" s="1">
        <v>0</v>
      </c>
      <c r="AG274" s="1">
        <v>0</v>
      </c>
      <c r="AH274" s="1">
        <v>0</v>
      </c>
      <c r="AI274" s="1">
        <v>0</v>
      </c>
      <c r="AJ274" s="1">
        <v>230.6</v>
      </c>
      <c r="AL274" s="1">
        <v>2591.69</v>
      </c>
      <c r="AM274" s="1">
        <v>0</v>
      </c>
      <c r="AN274" s="1">
        <v>526</v>
      </c>
      <c r="AO274" s="1">
        <v>0</v>
      </c>
      <c r="AP274" s="1">
        <v>1.94</v>
      </c>
      <c r="AQ274">
        <v>46</v>
      </c>
      <c r="AR274" s="1">
        <v>325.33999999999997</v>
      </c>
      <c r="AS274">
        <v>162</v>
      </c>
      <c r="AT274" s="1">
        <v>1293.97</v>
      </c>
      <c r="AU274">
        <v>38</v>
      </c>
      <c r="AV274" s="1">
        <v>319.97000000000003</v>
      </c>
      <c r="AW274">
        <v>5</v>
      </c>
      <c r="AX274" s="1">
        <v>31.06</v>
      </c>
      <c r="AY274">
        <v>28</v>
      </c>
      <c r="AZ274" s="1">
        <v>158.37</v>
      </c>
      <c r="BA274">
        <v>3</v>
      </c>
      <c r="BB274" s="1">
        <v>11.4</v>
      </c>
      <c r="BE274">
        <v>7</v>
      </c>
      <c r="BF274" s="1">
        <v>42.28</v>
      </c>
      <c r="BG274">
        <v>1</v>
      </c>
      <c r="BH274" s="1">
        <v>8.09</v>
      </c>
      <c r="BK274">
        <v>3</v>
      </c>
      <c r="BL274" s="1">
        <v>33.56</v>
      </c>
      <c r="BP274">
        <v>6</v>
      </c>
      <c r="BQ274" s="1">
        <v>57.3</v>
      </c>
      <c r="BR274" s="1">
        <v>52.62</v>
      </c>
      <c r="BZ274">
        <v>1</v>
      </c>
      <c r="CA274">
        <v>2</v>
      </c>
      <c r="CB274" s="1">
        <v>26.89</v>
      </c>
      <c r="CG274">
        <v>273</v>
      </c>
      <c r="CH274">
        <v>273</v>
      </c>
    </row>
    <row r="275" spans="1:86" x14ac:dyDescent="0.35">
      <c r="A275">
        <v>351323</v>
      </c>
      <c r="B275" s="2">
        <v>44220</v>
      </c>
      <c r="C275" s="2">
        <v>44220</v>
      </c>
      <c r="D275">
        <v>121</v>
      </c>
      <c r="E275" s="1">
        <v>431.1</v>
      </c>
      <c r="F275" s="1">
        <v>1607.22</v>
      </c>
      <c r="G275" s="1">
        <v>557.58000000000004</v>
      </c>
      <c r="H275" s="1">
        <v>612.03</v>
      </c>
      <c r="I275" s="1">
        <v>85.43</v>
      </c>
      <c r="J275" s="1">
        <v>3053.69</v>
      </c>
      <c r="K275" s="1">
        <v>374.23</v>
      </c>
      <c r="L275">
        <v>542</v>
      </c>
      <c r="M275" s="1">
        <v>376.42</v>
      </c>
      <c r="N275" s="1">
        <v>3154.87</v>
      </c>
      <c r="O275">
        <v>0</v>
      </c>
      <c r="P275" s="1">
        <v>0</v>
      </c>
      <c r="Q275">
        <v>4</v>
      </c>
      <c r="R275" s="1">
        <v>4.0199999999999996</v>
      </c>
      <c r="S275">
        <v>37</v>
      </c>
      <c r="T275" s="1">
        <v>61.14</v>
      </c>
      <c r="U275" s="1">
        <v>38.21</v>
      </c>
      <c r="V275">
        <v>2</v>
      </c>
      <c r="W275" s="1">
        <v>51</v>
      </c>
      <c r="X275">
        <v>12</v>
      </c>
      <c r="Y275" s="1">
        <v>0</v>
      </c>
      <c r="Z275">
        <v>131</v>
      </c>
      <c r="AA275" s="1">
        <v>375.47</v>
      </c>
      <c r="AB275">
        <v>12</v>
      </c>
      <c r="AC275" s="1">
        <v>36.97</v>
      </c>
      <c r="AD275">
        <v>7</v>
      </c>
      <c r="AE275" s="1">
        <v>20.57</v>
      </c>
      <c r="AF275" s="1">
        <v>0</v>
      </c>
      <c r="AG275" s="1">
        <v>0</v>
      </c>
      <c r="AH275" s="1">
        <v>0</v>
      </c>
      <c r="AI275" s="1">
        <v>0</v>
      </c>
      <c r="AJ275" s="1">
        <v>205.59</v>
      </c>
      <c r="AL275" s="1">
        <v>3427.92</v>
      </c>
      <c r="AM275" s="1">
        <v>0</v>
      </c>
      <c r="AN275" s="1">
        <v>683</v>
      </c>
      <c r="AO275" s="1">
        <v>0</v>
      </c>
      <c r="AP275" s="1">
        <v>-3.16</v>
      </c>
      <c r="AQ275">
        <v>90</v>
      </c>
      <c r="AR275" s="1">
        <v>542.70000000000005</v>
      </c>
      <c r="AS275">
        <v>238</v>
      </c>
      <c r="AT275" s="1">
        <v>1824.82</v>
      </c>
      <c r="AU275">
        <v>11</v>
      </c>
      <c r="AV275" s="1">
        <v>89.29</v>
      </c>
      <c r="AW275">
        <v>7</v>
      </c>
      <c r="AX275" s="1">
        <v>46.65</v>
      </c>
      <c r="AY275">
        <v>55</v>
      </c>
      <c r="AZ275" s="1">
        <v>336.84</v>
      </c>
      <c r="BE275">
        <v>7</v>
      </c>
      <c r="BF275" s="1">
        <v>33.92</v>
      </c>
      <c r="BK275">
        <v>9</v>
      </c>
      <c r="BL275" s="1">
        <v>65.069999999999993</v>
      </c>
      <c r="BP275">
        <v>4</v>
      </c>
      <c r="BQ275" s="1">
        <v>51.25</v>
      </c>
      <c r="BR275" s="1">
        <v>48.34</v>
      </c>
      <c r="BZ275">
        <v>1</v>
      </c>
      <c r="CA275">
        <v>1</v>
      </c>
      <c r="CB275" s="1">
        <v>7.81</v>
      </c>
      <c r="CG275">
        <v>274</v>
      </c>
      <c r="CH275">
        <v>274</v>
      </c>
    </row>
    <row r="276" spans="1:86" x14ac:dyDescent="0.35">
      <c r="A276">
        <v>353927</v>
      </c>
      <c r="B276" s="2">
        <v>44220</v>
      </c>
      <c r="C276" s="2">
        <v>44220</v>
      </c>
      <c r="D276">
        <v>110</v>
      </c>
      <c r="E276" s="1">
        <v>379.15</v>
      </c>
      <c r="F276" s="1">
        <v>1350.94</v>
      </c>
      <c r="G276" s="1">
        <v>612.32000000000005</v>
      </c>
      <c r="H276" s="1">
        <v>702.48</v>
      </c>
      <c r="I276" s="1">
        <v>51.01</v>
      </c>
      <c r="J276" s="1">
        <v>2890.75</v>
      </c>
      <c r="K276" s="1">
        <v>0</v>
      </c>
      <c r="L276">
        <v>405</v>
      </c>
      <c r="M276" s="1">
        <v>0</v>
      </c>
      <c r="N276" s="1">
        <v>2990.32</v>
      </c>
      <c r="O276">
        <v>2</v>
      </c>
      <c r="P276" s="1">
        <v>4.38</v>
      </c>
      <c r="Q276">
        <v>3</v>
      </c>
      <c r="R276" s="1">
        <v>8.15</v>
      </c>
      <c r="S276">
        <v>31</v>
      </c>
      <c r="T276" s="1">
        <v>51.38</v>
      </c>
      <c r="U276" s="1">
        <v>35.659999999999997</v>
      </c>
      <c r="V276">
        <v>0</v>
      </c>
      <c r="W276" s="1">
        <v>0</v>
      </c>
      <c r="X276">
        <v>9</v>
      </c>
      <c r="Y276" s="1">
        <v>0</v>
      </c>
      <c r="Z276">
        <v>80</v>
      </c>
      <c r="AA276" s="1">
        <v>280.08999999999997</v>
      </c>
      <c r="AB276">
        <v>7</v>
      </c>
      <c r="AC276" s="1">
        <v>19.23</v>
      </c>
      <c r="AD276">
        <v>3</v>
      </c>
      <c r="AE276" s="1">
        <v>4.95</v>
      </c>
      <c r="AF276" s="1">
        <v>0</v>
      </c>
      <c r="AG276" s="1">
        <v>0</v>
      </c>
      <c r="AH276" s="1">
        <v>0</v>
      </c>
      <c r="AI276" s="1">
        <v>0</v>
      </c>
      <c r="AJ276" s="1">
        <v>173.48</v>
      </c>
      <c r="AL276" s="1">
        <v>2890.75</v>
      </c>
      <c r="AM276" s="1">
        <v>0</v>
      </c>
      <c r="AN276" s="1">
        <v>636</v>
      </c>
      <c r="AO276" s="1">
        <v>0</v>
      </c>
      <c r="AP276" s="1">
        <v>8.67</v>
      </c>
      <c r="AQ276">
        <v>60</v>
      </c>
      <c r="AR276" s="1">
        <v>447.49</v>
      </c>
      <c r="AS276">
        <v>174</v>
      </c>
      <c r="AT276" s="1">
        <v>1349.88</v>
      </c>
      <c r="AU276">
        <v>7</v>
      </c>
      <c r="AV276" s="1">
        <v>63.79</v>
      </c>
      <c r="AW276">
        <v>1</v>
      </c>
      <c r="AX276" s="1">
        <v>2.3199999999999998</v>
      </c>
      <c r="AY276">
        <v>43</v>
      </c>
      <c r="AZ276" s="1">
        <v>196.04</v>
      </c>
      <c r="BA276">
        <v>1</v>
      </c>
      <c r="BB276" s="1">
        <v>3.78</v>
      </c>
      <c r="BE276">
        <v>10</v>
      </c>
      <c r="BF276" s="1">
        <v>72</v>
      </c>
      <c r="BK276">
        <v>1</v>
      </c>
      <c r="BL276" s="1">
        <v>1.1599999999999999</v>
      </c>
      <c r="BM276">
        <v>2</v>
      </c>
      <c r="BN276" s="1">
        <v>22.55</v>
      </c>
      <c r="BO276" s="1">
        <v>21.27</v>
      </c>
      <c r="BP276">
        <v>15</v>
      </c>
      <c r="BQ276" s="1">
        <v>252.4</v>
      </c>
      <c r="BR276" s="1">
        <v>222.26</v>
      </c>
      <c r="BZ276">
        <v>1</v>
      </c>
      <c r="CA276">
        <v>2</v>
      </c>
      <c r="CB276" s="1">
        <v>25.49</v>
      </c>
      <c r="CG276">
        <v>275</v>
      </c>
      <c r="CH276">
        <v>275</v>
      </c>
    </row>
    <row r="277" spans="1:86" x14ac:dyDescent="0.35">
      <c r="A277">
        <v>354030</v>
      </c>
      <c r="B277" s="2">
        <v>44220</v>
      </c>
      <c r="C277" s="2">
        <v>44220</v>
      </c>
      <c r="D277">
        <v>109</v>
      </c>
      <c r="E277" s="1">
        <v>380.97</v>
      </c>
      <c r="F277" s="1">
        <v>1178.6099999999999</v>
      </c>
      <c r="G277" s="1">
        <v>779.26</v>
      </c>
      <c r="H277" s="1">
        <v>658.48</v>
      </c>
      <c r="I277" s="1">
        <v>98.38</v>
      </c>
      <c r="J277" s="1">
        <v>2856.95</v>
      </c>
      <c r="K277" s="1">
        <v>228.15</v>
      </c>
      <c r="L277">
        <v>413</v>
      </c>
      <c r="M277" s="1">
        <v>230.3</v>
      </c>
      <c r="N277" s="1">
        <v>2988.34</v>
      </c>
      <c r="O277">
        <v>0</v>
      </c>
      <c r="P277" s="1">
        <v>0</v>
      </c>
      <c r="Q277">
        <v>3</v>
      </c>
      <c r="R277" s="1">
        <v>3.41</v>
      </c>
      <c r="S277">
        <v>38</v>
      </c>
      <c r="T277" s="1">
        <v>75.77</v>
      </c>
      <c r="U277" s="1">
        <v>54.36</v>
      </c>
      <c r="V277">
        <v>1</v>
      </c>
      <c r="W277" s="1">
        <v>30</v>
      </c>
      <c r="X277">
        <v>9</v>
      </c>
      <c r="Y277" s="1">
        <v>0</v>
      </c>
      <c r="Z277">
        <v>47</v>
      </c>
      <c r="AA277" s="1">
        <v>120.14</v>
      </c>
      <c r="AB277">
        <v>5</v>
      </c>
      <c r="AC277" s="1">
        <v>26.55</v>
      </c>
      <c r="AD277">
        <v>1</v>
      </c>
      <c r="AE277" s="1">
        <v>0</v>
      </c>
      <c r="AF277" s="1">
        <v>0</v>
      </c>
      <c r="AG277" s="1">
        <v>0</v>
      </c>
      <c r="AH277" s="1">
        <v>0</v>
      </c>
      <c r="AI277" s="1">
        <v>0</v>
      </c>
      <c r="AJ277" s="1">
        <v>185.02</v>
      </c>
      <c r="AL277" s="1">
        <v>3085.1</v>
      </c>
      <c r="AM277" s="1">
        <v>0</v>
      </c>
      <c r="AN277" s="1">
        <v>541</v>
      </c>
      <c r="AO277" s="1">
        <v>0</v>
      </c>
      <c r="AP277" s="1">
        <v>-1.1200000000000001</v>
      </c>
      <c r="AQ277">
        <v>49</v>
      </c>
      <c r="AR277" s="1">
        <v>419.4</v>
      </c>
      <c r="AS277">
        <v>169</v>
      </c>
      <c r="AT277" s="1">
        <v>1446.06</v>
      </c>
      <c r="AU277">
        <v>17</v>
      </c>
      <c r="AV277" s="1">
        <v>173.44</v>
      </c>
      <c r="AW277">
        <v>2</v>
      </c>
      <c r="AX277" s="1">
        <v>20.72</v>
      </c>
      <c r="AY277">
        <v>56</v>
      </c>
      <c r="AZ277" s="1">
        <v>352.55</v>
      </c>
      <c r="BC277">
        <v>1</v>
      </c>
      <c r="BD277" s="1">
        <v>4.0199999999999996</v>
      </c>
      <c r="BE277">
        <v>11</v>
      </c>
      <c r="BF277" s="1">
        <v>98.85</v>
      </c>
      <c r="BG277">
        <v>5</v>
      </c>
      <c r="BH277" s="1">
        <v>63.78</v>
      </c>
      <c r="BK277">
        <v>11</v>
      </c>
      <c r="BL277" s="1">
        <v>136.55000000000001</v>
      </c>
      <c r="BP277">
        <v>2</v>
      </c>
      <c r="BQ277" s="1">
        <v>16.18</v>
      </c>
      <c r="BR277" s="1">
        <v>15.27</v>
      </c>
      <c r="BZ277">
        <v>1</v>
      </c>
      <c r="CA277">
        <v>3</v>
      </c>
      <c r="CB277" s="1">
        <v>26.45</v>
      </c>
      <c r="CG277">
        <v>276</v>
      </c>
      <c r="CH277">
        <v>276</v>
      </c>
    </row>
    <row r="278" spans="1:86" x14ac:dyDescent="0.35">
      <c r="A278">
        <v>355439</v>
      </c>
      <c r="B278" s="2">
        <v>44220</v>
      </c>
      <c r="C278" s="2">
        <v>44220</v>
      </c>
      <c r="D278">
        <v>175</v>
      </c>
      <c r="E278" s="1">
        <v>583.48</v>
      </c>
      <c r="F278" s="1">
        <v>1721.74</v>
      </c>
      <c r="G278" s="1">
        <v>900.57</v>
      </c>
      <c r="H278" s="1">
        <v>860.86</v>
      </c>
      <c r="I278" s="1">
        <v>94.73</v>
      </c>
      <c r="J278" s="1">
        <v>3870.29</v>
      </c>
      <c r="K278" s="1">
        <v>0</v>
      </c>
      <c r="L278">
        <v>561</v>
      </c>
      <c r="M278" s="1">
        <v>0</v>
      </c>
      <c r="N278" s="1">
        <v>4008.65</v>
      </c>
      <c r="O278">
        <v>2</v>
      </c>
      <c r="P278" s="1">
        <v>7.97</v>
      </c>
      <c r="Q278">
        <v>8</v>
      </c>
      <c r="R278" s="1">
        <v>14.6</v>
      </c>
      <c r="S278">
        <v>35</v>
      </c>
      <c r="T278" s="1">
        <v>69.34</v>
      </c>
      <c r="U278" s="1">
        <v>46.45</v>
      </c>
      <c r="V278">
        <v>1</v>
      </c>
      <c r="W278" s="1">
        <v>20</v>
      </c>
      <c r="X278">
        <v>25</v>
      </c>
      <c r="Y278" s="1">
        <v>0</v>
      </c>
      <c r="Z278">
        <v>76</v>
      </c>
      <c r="AA278" s="1">
        <v>227.12</v>
      </c>
      <c r="AB278">
        <v>10</v>
      </c>
      <c r="AC278" s="1">
        <v>34.799999999999997</v>
      </c>
      <c r="AD278">
        <v>2</v>
      </c>
      <c r="AE278" s="1">
        <v>4.8499999999999996</v>
      </c>
      <c r="AF278" s="1">
        <v>0</v>
      </c>
      <c r="AG278" s="1">
        <v>0</v>
      </c>
      <c r="AH278" s="1">
        <v>0</v>
      </c>
      <c r="AI278" s="1">
        <v>0</v>
      </c>
      <c r="AJ278" s="1">
        <v>309.79000000000002</v>
      </c>
      <c r="AL278" s="1">
        <v>3870.29</v>
      </c>
      <c r="AM278" s="1">
        <v>0</v>
      </c>
      <c r="AN278" s="1">
        <v>208</v>
      </c>
      <c r="AO278" s="1">
        <v>417.3</v>
      </c>
      <c r="AP278" s="1">
        <v>-17.14</v>
      </c>
      <c r="AQ278">
        <v>80</v>
      </c>
      <c r="AR278" s="1">
        <v>594.91999999999996</v>
      </c>
      <c r="AS278">
        <v>228</v>
      </c>
      <c r="AT278" s="1">
        <v>1743.53</v>
      </c>
      <c r="AU278">
        <v>26</v>
      </c>
      <c r="AV278" s="1">
        <v>226.61</v>
      </c>
      <c r="AW278">
        <v>4</v>
      </c>
      <c r="AX278" s="1">
        <v>32.39</v>
      </c>
      <c r="AY278">
        <v>42</v>
      </c>
      <c r="AZ278" s="1">
        <v>219.39</v>
      </c>
      <c r="BA278">
        <v>2</v>
      </c>
      <c r="BB278" s="1">
        <v>67.83</v>
      </c>
      <c r="BC278">
        <v>2</v>
      </c>
      <c r="BD278" s="1">
        <v>18.8</v>
      </c>
      <c r="BE278">
        <v>15</v>
      </c>
      <c r="BF278" s="1">
        <v>162.31</v>
      </c>
      <c r="BG278">
        <v>1</v>
      </c>
      <c r="BH278" s="1">
        <v>2.8</v>
      </c>
      <c r="BK278">
        <v>13</v>
      </c>
      <c r="BL278" s="1">
        <v>97.91</v>
      </c>
      <c r="BM278">
        <v>1</v>
      </c>
      <c r="BN278" s="1">
        <v>6.48</v>
      </c>
      <c r="BO278" s="1">
        <v>6</v>
      </c>
      <c r="BP278">
        <v>11</v>
      </c>
      <c r="BQ278" s="1">
        <v>239.02</v>
      </c>
      <c r="BR278" s="1">
        <v>221.32</v>
      </c>
      <c r="BZ278">
        <v>1</v>
      </c>
      <c r="CA278">
        <v>8</v>
      </c>
      <c r="CB278" s="1">
        <v>145.65</v>
      </c>
      <c r="CG278">
        <v>277</v>
      </c>
      <c r="CH278">
        <v>277</v>
      </c>
    </row>
    <row r="279" spans="1:86" x14ac:dyDescent="0.35">
      <c r="A279">
        <v>350432</v>
      </c>
      <c r="B279" s="2">
        <v>44221</v>
      </c>
      <c r="C279" s="2">
        <v>44221</v>
      </c>
      <c r="D279">
        <v>164</v>
      </c>
      <c r="E279" s="1">
        <v>479.44</v>
      </c>
      <c r="F279" s="1">
        <v>1748.69</v>
      </c>
      <c r="G279" s="1">
        <v>405.2</v>
      </c>
      <c r="H279" s="1">
        <v>864</v>
      </c>
      <c r="I279" s="1">
        <v>136.03</v>
      </c>
      <c r="J279" s="1">
        <v>3400.58</v>
      </c>
      <c r="K279" s="1">
        <v>407.22</v>
      </c>
      <c r="L279">
        <v>716</v>
      </c>
      <c r="M279" s="1">
        <v>419.49</v>
      </c>
      <c r="N279" s="1">
        <v>3560.65</v>
      </c>
      <c r="O279">
        <v>3</v>
      </c>
      <c r="P279" s="1">
        <v>9.17</v>
      </c>
      <c r="Q279">
        <v>16</v>
      </c>
      <c r="R279" s="1">
        <v>6.13</v>
      </c>
      <c r="S279">
        <v>55</v>
      </c>
      <c r="T279" s="1">
        <v>106.25</v>
      </c>
      <c r="U279" s="1">
        <v>50.79</v>
      </c>
      <c r="V279">
        <v>0</v>
      </c>
      <c r="W279" s="1">
        <v>0</v>
      </c>
      <c r="X279">
        <v>23</v>
      </c>
      <c r="Y279" s="1">
        <v>0</v>
      </c>
      <c r="Z279">
        <v>131</v>
      </c>
      <c r="AA279" s="1">
        <v>353.92</v>
      </c>
      <c r="AB279">
        <v>17</v>
      </c>
      <c r="AC279" s="1">
        <v>45.17</v>
      </c>
      <c r="AD279">
        <v>2</v>
      </c>
      <c r="AE279" s="1">
        <v>6.17</v>
      </c>
      <c r="AF279" s="1">
        <v>0</v>
      </c>
      <c r="AG279" s="1">
        <v>0</v>
      </c>
      <c r="AH279" s="1">
        <v>0</v>
      </c>
      <c r="AI279" s="1">
        <v>0</v>
      </c>
      <c r="AJ279" s="1">
        <v>338.59</v>
      </c>
      <c r="AL279" s="1">
        <v>3807.8</v>
      </c>
      <c r="AM279" s="1">
        <v>0</v>
      </c>
      <c r="AN279" s="1">
        <v>1027</v>
      </c>
      <c r="AO279" s="1">
        <v>0</v>
      </c>
      <c r="AP279" s="1">
        <v>145.33000000000001</v>
      </c>
      <c r="AQ279">
        <v>83</v>
      </c>
      <c r="AR279" s="1">
        <v>514.57000000000005</v>
      </c>
      <c r="AS279">
        <v>284</v>
      </c>
      <c r="AT279" s="1">
        <v>1663.79</v>
      </c>
      <c r="AU279">
        <v>40</v>
      </c>
      <c r="AV279" s="1">
        <v>225.5</v>
      </c>
      <c r="AW279">
        <v>7</v>
      </c>
      <c r="AX279" s="1">
        <v>43.52</v>
      </c>
      <c r="AY279">
        <v>72</v>
      </c>
      <c r="AZ279" s="1">
        <v>341.43</v>
      </c>
      <c r="BC279">
        <v>3</v>
      </c>
      <c r="BD279" s="1">
        <v>19.21</v>
      </c>
      <c r="BE279">
        <v>13</v>
      </c>
      <c r="BF279" s="1">
        <v>77.2</v>
      </c>
      <c r="BG279">
        <v>3</v>
      </c>
      <c r="BH279" s="1">
        <v>16.13</v>
      </c>
      <c r="BK279">
        <v>15</v>
      </c>
      <c r="BL279" s="1">
        <v>76.739999999999995</v>
      </c>
      <c r="BM279">
        <v>3</v>
      </c>
      <c r="BN279" s="1">
        <v>27.43</v>
      </c>
      <c r="BO279" s="1">
        <v>25.19</v>
      </c>
      <c r="BP279">
        <v>12</v>
      </c>
      <c r="BQ279" s="1">
        <v>199.25</v>
      </c>
      <c r="BR279" s="1">
        <v>182.97</v>
      </c>
      <c r="BZ279">
        <v>1</v>
      </c>
      <c r="CA279">
        <v>5</v>
      </c>
      <c r="CB279" s="1">
        <v>59.95</v>
      </c>
      <c r="CG279">
        <v>278</v>
      </c>
      <c r="CH279">
        <v>278</v>
      </c>
    </row>
    <row r="280" spans="1:86" x14ac:dyDescent="0.35">
      <c r="A280">
        <v>351323</v>
      </c>
      <c r="B280" s="2">
        <v>44221</v>
      </c>
      <c r="C280" s="2">
        <v>44221</v>
      </c>
      <c r="D280">
        <v>134</v>
      </c>
      <c r="E280" s="1">
        <v>429.52</v>
      </c>
      <c r="F280" s="1">
        <v>1569.39</v>
      </c>
      <c r="G280" s="1">
        <v>415.54</v>
      </c>
      <c r="H280" s="1">
        <v>611.26</v>
      </c>
      <c r="I280" s="1">
        <v>116.44</v>
      </c>
      <c r="J280" s="1">
        <v>2887.66</v>
      </c>
      <c r="K280" s="1">
        <v>185.68</v>
      </c>
      <c r="L280">
        <v>620</v>
      </c>
      <c r="M280" s="1">
        <v>190.31</v>
      </c>
      <c r="N280" s="1">
        <v>3027.82</v>
      </c>
      <c r="O280">
        <v>2</v>
      </c>
      <c r="P280" s="1">
        <v>3.58</v>
      </c>
      <c r="Q280">
        <v>11</v>
      </c>
      <c r="R280" s="1">
        <v>2.2000000000000002</v>
      </c>
      <c r="S280">
        <v>55</v>
      </c>
      <c r="T280" s="1">
        <v>92.59</v>
      </c>
      <c r="U280" s="1">
        <v>46.42</v>
      </c>
      <c r="V280">
        <v>1</v>
      </c>
      <c r="W280" s="1">
        <v>10</v>
      </c>
      <c r="X280">
        <v>10</v>
      </c>
      <c r="Y280" s="1">
        <v>0</v>
      </c>
      <c r="Z280">
        <v>67</v>
      </c>
      <c r="AA280" s="1">
        <v>166.41</v>
      </c>
      <c r="AB280">
        <v>10</v>
      </c>
      <c r="AC280" s="1">
        <v>29.2</v>
      </c>
      <c r="AD280">
        <v>5</v>
      </c>
      <c r="AE280" s="1">
        <v>6.11</v>
      </c>
      <c r="AF280" s="1">
        <v>0</v>
      </c>
      <c r="AG280" s="1">
        <v>0</v>
      </c>
      <c r="AH280" s="1">
        <v>0</v>
      </c>
      <c r="AI280" s="1">
        <v>0</v>
      </c>
      <c r="AJ280" s="1">
        <v>184.31</v>
      </c>
      <c r="AL280" s="1">
        <v>3073.34</v>
      </c>
      <c r="AM280" s="1">
        <v>0</v>
      </c>
      <c r="AN280" s="1">
        <v>783</v>
      </c>
      <c r="AO280" s="1">
        <v>4.53</v>
      </c>
      <c r="AP280" s="1">
        <v>-0.2</v>
      </c>
      <c r="AQ280">
        <v>106</v>
      </c>
      <c r="AR280" s="1">
        <v>587.70000000000005</v>
      </c>
      <c r="AS280">
        <v>233</v>
      </c>
      <c r="AT280" s="1">
        <v>1342.27</v>
      </c>
      <c r="AU280">
        <v>11</v>
      </c>
      <c r="AV280" s="1">
        <v>58.93</v>
      </c>
      <c r="AW280">
        <v>5</v>
      </c>
      <c r="AX280" s="1">
        <v>24.28</v>
      </c>
      <c r="AY280">
        <v>60</v>
      </c>
      <c r="AZ280" s="1">
        <v>261.22000000000003</v>
      </c>
      <c r="BC280">
        <v>1</v>
      </c>
      <c r="BD280" s="1">
        <v>6.39</v>
      </c>
      <c r="BE280">
        <v>10</v>
      </c>
      <c r="BF280" s="1">
        <v>54.78</v>
      </c>
      <c r="BG280">
        <v>5</v>
      </c>
      <c r="BH280" s="1">
        <v>30.41</v>
      </c>
      <c r="BI280">
        <v>1</v>
      </c>
      <c r="BJ280" s="1">
        <v>26.49</v>
      </c>
      <c r="BK280">
        <v>3</v>
      </c>
      <c r="BL280" s="1">
        <v>20.05</v>
      </c>
      <c r="BM280">
        <v>2</v>
      </c>
      <c r="BN280" s="1">
        <v>12.37</v>
      </c>
      <c r="BO280" s="1">
        <v>11.67</v>
      </c>
      <c r="BP280">
        <v>4</v>
      </c>
      <c r="BQ280" s="1">
        <v>46.84</v>
      </c>
      <c r="BR280" s="1">
        <v>44.18</v>
      </c>
      <c r="BZ280">
        <v>1</v>
      </c>
      <c r="CA280">
        <v>2</v>
      </c>
      <c r="CB280" s="1">
        <v>8.19</v>
      </c>
      <c r="CG280">
        <v>279</v>
      </c>
      <c r="CH280">
        <v>279</v>
      </c>
    </row>
    <row r="281" spans="1:86" x14ac:dyDescent="0.35">
      <c r="A281">
        <v>353927</v>
      </c>
      <c r="B281" s="2">
        <v>44221</v>
      </c>
      <c r="C281" s="2">
        <v>44221</v>
      </c>
      <c r="D281">
        <v>114</v>
      </c>
      <c r="E281" s="1">
        <v>371.92</v>
      </c>
      <c r="F281" s="1">
        <v>1409.44</v>
      </c>
      <c r="G281" s="1">
        <v>395.13</v>
      </c>
      <c r="H281" s="1">
        <v>671.41</v>
      </c>
      <c r="I281" s="1">
        <v>117.74</v>
      </c>
      <c r="J281" s="1">
        <v>2775.77</v>
      </c>
      <c r="K281" s="1">
        <v>0</v>
      </c>
      <c r="L281">
        <v>548</v>
      </c>
      <c r="M281" s="1">
        <v>0</v>
      </c>
      <c r="N281" s="1">
        <v>2936.22</v>
      </c>
      <c r="O281">
        <v>0</v>
      </c>
      <c r="P281" s="1">
        <v>0</v>
      </c>
      <c r="Q281">
        <v>5</v>
      </c>
      <c r="R281" s="1">
        <v>14.61</v>
      </c>
      <c r="S281">
        <v>63</v>
      </c>
      <c r="T281" s="1">
        <v>105.9</v>
      </c>
      <c r="U281" s="1">
        <v>39.94</v>
      </c>
      <c r="V281">
        <v>2</v>
      </c>
      <c r="W281" s="1">
        <v>35</v>
      </c>
      <c r="X281">
        <v>8</v>
      </c>
      <c r="Y281" s="1">
        <v>0</v>
      </c>
      <c r="Z281">
        <v>85</v>
      </c>
      <c r="AA281" s="1">
        <v>235.56</v>
      </c>
      <c r="AB281">
        <v>11</v>
      </c>
      <c r="AC281" s="1">
        <v>35.29</v>
      </c>
      <c r="AD281">
        <v>5</v>
      </c>
      <c r="AE281" s="1">
        <v>2.5299999999999998</v>
      </c>
      <c r="AF281" s="1">
        <v>0</v>
      </c>
      <c r="AG281" s="1">
        <v>0</v>
      </c>
      <c r="AH281" s="1">
        <v>0</v>
      </c>
      <c r="AI281" s="1">
        <v>0</v>
      </c>
      <c r="AJ281" s="1">
        <v>166.39</v>
      </c>
      <c r="AL281" s="1">
        <v>2775.77</v>
      </c>
      <c r="AM281" s="1">
        <v>0</v>
      </c>
      <c r="AN281" s="1">
        <v>676</v>
      </c>
      <c r="AO281" s="1">
        <v>0</v>
      </c>
      <c r="AP281" s="1">
        <v>-20.87</v>
      </c>
      <c r="AQ281">
        <v>84</v>
      </c>
      <c r="AR281" s="1">
        <v>511.5</v>
      </c>
      <c r="AS281">
        <v>233</v>
      </c>
      <c r="AT281" s="1">
        <v>1318.01</v>
      </c>
      <c r="AU281">
        <v>9</v>
      </c>
      <c r="AV281" s="1">
        <v>34.65</v>
      </c>
      <c r="AW281">
        <v>4</v>
      </c>
      <c r="AX281" s="1">
        <v>34.619999999999997</v>
      </c>
      <c r="AY281">
        <v>52</v>
      </c>
      <c r="AZ281" s="1">
        <v>221.36</v>
      </c>
      <c r="BA281">
        <v>1</v>
      </c>
      <c r="BB281" s="1">
        <v>5.38</v>
      </c>
      <c r="BE281">
        <v>15</v>
      </c>
      <c r="BF281" s="1">
        <v>72.67</v>
      </c>
      <c r="BG281">
        <v>1</v>
      </c>
      <c r="BH281" s="1">
        <v>2.52</v>
      </c>
      <c r="BK281">
        <v>4</v>
      </c>
      <c r="BL281" s="1">
        <v>37.130000000000003</v>
      </c>
      <c r="BP281">
        <v>2</v>
      </c>
      <c r="BQ281" s="1">
        <v>18.97</v>
      </c>
      <c r="BR281" s="1">
        <v>17.89</v>
      </c>
      <c r="BZ281">
        <v>1</v>
      </c>
      <c r="CA281">
        <v>3</v>
      </c>
      <c r="CB281" s="1">
        <v>23.48</v>
      </c>
      <c r="CG281">
        <v>280</v>
      </c>
      <c r="CH281">
        <v>280</v>
      </c>
    </row>
    <row r="282" spans="1:86" x14ac:dyDescent="0.35">
      <c r="A282">
        <v>354030</v>
      </c>
      <c r="B282" s="2">
        <v>44221</v>
      </c>
      <c r="C282" s="2">
        <v>44221</v>
      </c>
      <c r="D282">
        <v>97</v>
      </c>
      <c r="E282" s="1">
        <v>336.74</v>
      </c>
      <c r="F282" s="1">
        <v>1144.24</v>
      </c>
      <c r="G282" s="1">
        <v>490.22</v>
      </c>
      <c r="H282" s="1">
        <v>406.54</v>
      </c>
      <c r="I282" s="1">
        <v>98.16</v>
      </c>
      <c r="J282" s="1">
        <v>2304.04</v>
      </c>
      <c r="K282" s="1">
        <v>60.87</v>
      </c>
      <c r="L282">
        <v>410</v>
      </c>
      <c r="M282" s="1">
        <v>60.87</v>
      </c>
      <c r="N282" s="1">
        <v>2409.98</v>
      </c>
      <c r="O282">
        <v>0</v>
      </c>
      <c r="P282" s="1">
        <v>0</v>
      </c>
      <c r="Q282">
        <v>3</v>
      </c>
      <c r="R282" s="1">
        <v>1.29</v>
      </c>
      <c r="S282">
        <v>40</v>
      </c>
      <c r="T282" s="1">
        <v>66.69</v>
      </c>
      <c r="U282" s="1">
        <v>37.96</v>
      </c>
      <c r="V282">
        <v>2</v>
      </c>
      <c r="W282" s="1">
        <v>20</v>
      </c>
      <c r="X282">
        <v>7</v>
      </c>
      <c r="Y282" s="1">
        <v>0</v>
      </c>
      <c r="Z282">
        <v>54</v>
      </c>
      <c r="AA282" s="1">
        <v>150.12</v>
      </c>
      <c r="AB282">
        <v>5</v>
      </c>
      <c r="AC282" s="1">
        <v>6.43</v>
      </c>
      <c r="AD282">
        <v>2</v>
      </c>
      <c r="AE282" s="1">
        <v>7.3</v>
      </c>
      <c r="AF282" s="1">
        <v>0</v>
      </c>
      <c r="AG282" s="1">
        <v>0</v>
      </c>
      <c r="AH282" s="1">
        <v>0</v>
      </c>
      <c r="AI282" s="1">
        <v>0</v>
      </c>
      <c r="AJ282" s="1">
        <v>141.83000000000001</v>
      </c>
      <c r="AL282" s="1">
        <v>2364.91</v>
      </c>
      <c r="AM282" s="1">
        <v>0</v>
      </c>
      <c r="AN282" s="1">
        <v>456</v>
      </c>
      <c r="AO282" s="1">
        <v>3.39</v>
      </c>
      <c r="AP282" s="1">
        <v>10.07</v>
      </c>
      <c r="AQ282">
        <v>51</v>
      </c>
      <c r="AR282" s="1">
        <v>363.67</v>
      </c>
      <c r="AS282">
        <v>168</v>
      </c>
      <c r="AT282" s="1">
        <v>1142.02</v>
      </c>
      <c r="AU282">
        <v>6</v>
      </c>
      <c r="AV282" s="1">
        <v>53.2</v>
      </c>
      <c r="AW282">
        <v>4</v>
      </c>
      <c r="AX282" s="1">
        <v>26.83</v>
      </c>
      <c r="AY282">
        <v>71</v>
      </c>
      <c r="AZ282" s="1">
        <v>321.79000000000002</v>
      </c>
      <c r="BA282">
        <v>2</v>
      </c>
      <c r="BB282" s="1">
        <v>12.25</v>
      </c>
      <c r="BC282">
        <v>2</v>
      </c>
      <c r="BD282" s="1">
        <v>6.77</v>
      </c>
      <c r="BE282">
        <v>10</v>
      </c>
      <c r="BF282" s="1">
        <v>45.36</v>
      </c>
      <c r="BK282">
        <v>7</v>
      </c>
      <c r="BL282" s="1">
        <v>54.36</v>
      </c>
      <c r="BP282">
        <v>2</v>
      </c>
      <c r="BQ282" s="1">
        <v>23.91</v>
      </c>
      <c r="BR282" s="1">
        <v>22.56</v>
      </c>
      <c r="CA282">
        <v>2</v>
      </c>
      <c r="CB282" s="1">
        <v>27.26</v>
      </c>
      <c r="CG282">
        <v>281</v>
      </c>
      <c r="CH282">
        <v>281</v>
      </c>
    </row>
    <row r="283" spans="1:86" x14ac:dyDescent="0.35">
      <c r="A283">
        <v>355439</v>
      </c>
      <c r="B283" s="2">
        <v>44221</v>
      </c>
      <c r="C283" s="2">
        <v>44221</v>
      </c>
      <c r="D283">
        <v>171</v>
      </c>
      <c r="E283" s="1">
        <v>552.59</v>
      </c>
      <c r="F283" s="1">
        <v>1800.9</v>
      </c>
      <c r="G283" s="1">
        <v>598.08000000000004</v>
      </c>
      <c r="H283" s="1">
        <v>764.93</v>
      </c>
      <c r="I283" s="1">
        <v>109.14</v>
      </c>
      <c r="J283" s="1">
        <v>3506.66</v>
      </c>
      <c r="K283" s="1">
        <v>0</v>
      </c>
      <c r="L283">
        <v>690</v>
      </c>
      <c r="M283" s="1">
        <v>0</v>
      </c>
      <c r="N283" s="1">
        <v>3650.38</v>
      </c>
      <c r="O283">
        <v>0</v>
      </c>
      <c r="P283" s="1">
        <v>0</v>
      </c>
      <c r="Q283">
        <v>13</v>
      </c>
      <c r="R283" s="1">
        <v>12.55</v>
      </c>
      <c r="S283">
        <v>47</v>
      </c>
      <c r="T283" s="1">
        <v>94.83</v>
      </c>
      <c r="U283" s="1">
        <v>36.340000000000003</v>
      </c>
      <c r="V283">
        <v>0</v>
      </c>
      <c r="W283" s="1">
        <v>0</v>
      </c>
      <c r="X283">
        <v>17</v>
      </c>
      <c r="Y283" s="1">
        <v>0</v>
      </c>
      <c r="Z283">
        <v>79</v>
      </c>
      <c r="AA283" s="1">
        <v>217.81</v>
      </c>
      <c r="AB283">
        <v>13</v>
      </c>
      <c r="AC283" s="1">
        <v>48.3</v>
      </c>
      <c r="AD283">
        <v>2</v>
      </c>
      <c r="AE283" s="1">
        <v>0</v>
      </c>
      <c r="AF283" s="1">
        <v>0</v>
      </c>
      <c r="AG283" s="1">
        <v>0</v>
      </c>
      <c r="AH283" s="1">
        <v>0</v>
      </c>
      <c r="AI283" s="1">
        <v>0</v>
      </c>
      <c r="AJ283" s="1">
        <v>280.86</v>
      </c>
      <c r="AL283" s="1">
        <v>3506.66</v>
      </c>
      <c r="AM283" s="1">
        <v>0</v>
      </c>
      <c r="AN283" s="1">
        <v>644</v>
      </c>
      <c r="AO283" s="1">
        <v>0</v>
      </c>
      <c r="AP283" s="1">
        <v>-46.58</v>
      </c>
      <c r="AQ283">
        <v>112</v>
      </c>
      <c r="AR283" s="1">
        <v>735.81</v>
      </c>
      <c r="AS283">
        <v>248</v>
      </c>
      <c r="AT283" s="1">
        <v>1556.22</v>
      </c>
      <c r="AU283">
        <v>31</v>
      </c>
      <c r="AV283" s="1">
        <v>183.4</v>
      </c>
      <c r="AW283">
        <v>9</v>
      </c>
      <c r="AX283" s="1">
        <v>48.59</v>
      </c>
      <c r="AY283">
        <v>70</v>
      </c>
      <c r="AZ283" s="1">
        <v>306.56</v>
      </c>
      <c r="BA283">
        <v>2</v>
      </c>
      <c r="BB283" s="1">
        <v>14.82</v>
      </c>
      <c r="BC283">
        <v>1</v>
      </c>
      <c r="BD283" s="1">
        <v>4.47</v>
      </c>
      <c r="BE283">
        <v>14</v>
      </c>
      <c r="BF283" s="1">
        <v>69.03</v>
      </c>
      <c r="BG283">
        <v>3</v>
      </c>
      <c r="BH283" s="1">
        <v>11.79</v>
      </c>
      <c r="BK283">
        <v>17</v>
      </c>
      <c r="BL283" s="1">
        <v>88.85</v>
      </c>
      <c r="BP283">
        <v>2</v>
      </c>
      <c r="BQ283" s="1">
        <v>20.91</v>
      </c>
      <c r="BR283" s="1">
        <v>6.99</v>
      </c>
      <c r="BZ283">
        <v>1</v>
      </c>
      <c r="CA283">
        <v>6</v>
      </c>
      <c r="CB283" s="1">
        <v>56.49</v>
      </c>
      <c r="CG283">
        <v>282</v>
      </c>
      <c r="CH283">
        <v>282</v>
      </c>
    </row>
    <row r="284" spans="1:86" x14ac:dyDescent="0.35">
      <c r="A284">
        <v>350432</v>
      </c>
      <c r="B284" s="2">
        <v>44222</v>
      </c>
      <c r="C284" s="2">
        <v>44222</v>
      </c>
      <c r="D284">
        <v>149</v>
      </c>
      <c r="E284" s="1">
        <v>489.25</v>
      </c>
      <c r="F284" s="1">
        <v>1826.74</v>
      </c>
      <c r="G284" s="1">
        <v>379.19</v>
      </c>
      <c r="H284" s="1">
        <v>756.27</v>
      </c>
      <c r="I284" s="1">
        <v>99.28</v>
      </c>
      <c r="J284" s="1">
        <v>3320.82</v>
      </c>
      <c r="K284" s="1">
        <v>498.12</v>
      </c>
      <c r="L284">
        <v>690</v>
      </c>
      <c r="M284" s="1">
        <v>509.88</v>
      </c>
      <c r="N284" s="1">
        <v>3456.88</v>
      </c>
      <c r="O284">
        <v>3</v>
      </c>
      <c r="P284" s="1">
        <v>23.74</v>
      </c>
      <c r="Q284">
        <v>10</v>
      </c>
      <c r="R284" s="1">
        <v>5.71</v>
      </c>
      <c r="S284">
        <v>49</v>
      </c>
      <c r="T284" s="1">
        <v>81.11</v>
      </c>
      <c r="U284" s="1">
        <v>37.26</v>
      </c>
      <c r="V284">
        <v>1</v>
      </c>
      <c r="W284" s="1">
        <v>5</v>
      </c>
      <c r="X284">
        <v>29</v>
      </c>
      <c r="Y284" s="1">
        <v>0</v>
      </c>
      <c r="Z284">
        <v>134</v>
      </c>
      <c r="AA284" s="1">
        <v>371.39</v>
      </c>
      <c r="AB284">
        <v>17</v>
      </c>
      <c r="AC284" s="1">
        <v>61.04</v>
      </c>
      <c r="AD284">
        <v>2</v>
      </c>
      <c r="AE284" s="1">
        <v>0</v>
      </c>
      <c r="AF284" s="1">
        <v>0</v>
      </c>
      <c r="AG284" s="1">
        <v>0</v>
      </c>
      <c r="AH284" s="1">
        <v>0</v>
      </c>
      <c r="AI284" s="1">
        <v>0</v>
      </c>
      <c r="AJ284" s="1">
        <v>339.59</v>
      </c>
      <c r="AL284" s="1">
        <v>3818.94</v>
      </c>
      <c r="AM284" s="1">
        <v>0</v>
      </c>
      <c r="AN284" s="1">
        <v>335</v>
      </c>
      <c r="AO284" s="1">
        <v>0</v>
      </c>
      <c r="AP284" s="1">
        <v>-435.5</v>
      </c>
      <c r="AQ284">
        <v>82</v>
      </c>
      <c r="AR284" s="1">
        <v>491.75</v>
      </c>
      <c r="AS284">
        <v>289</v>
      </c>
      <c r="AT284" s="1">
        <v>1740.85</v>
      </c>
      <c r="AU284">
        <v>37</v>
      </c>
      <c r="AV284" s="1">
        <v>278.73</v>
      </c>
      <c r="AW284">
        <v>8</v>
      </c>
      <c r="AX284" s="1">
        <v>53.93</v>
      </c>
      <c r="AY284">
        <v>55</v>
      </c>
      <c r="AZ284" s="1">
        <v>270.27999999999997</v>
      </c>
      <c r="BC284">
        <v>2</v>
      </c>
      <c r="BD284" s="1">
        <v>17.579999999999998</v>
      </c>
      <c r="BE284">
        <v>13</v>
      </c>
      <c r="BF284" s="1">
        <v>73.63</v>
      </c>
      <c r="BG284">
        <v>2</v>
      </c>
      <c r="BH284" s="1">
        <v>7.32</v>
      </c>
      <c r="BK284">
        <v>13</v>
      </c>
      <c r="BL284" s="1">
        <v>113.1</v>
      </c>
      <c r="BM284">
        <v>1</v>
      </c>
      <c r="BN284" s="1">
        <v>11.85</v>
      </c>
      <c r="BO284" s="1">
        <v>10.88</v>
      </c>
      <c r="BP284">
        <v>17</v>
      </c>
      <c r="BQ284" s="1">
        <v>226.02</v>
      </c>
      <c r="BR284" s="1">
        <v>207.55</v>
      </c>
      <c r="CA284">
        <v>7</v>
      </c>
      <c r="CB284" s="1">
        <v>107.99</v>
      </c>
      <c r="CG284">
        <v>283</v>
      </c>
      <c r="CH284">
        <v>283</v>
      </c>
    </row>
    <row r="285" spans="1:86" x14ac:dyDescent="0.35">
      <c r="A285">
        <v>350437</v>
      </c>
      <c r="B285" s="2">
        <v>44222</v>
      </c>
      <c r="C285" s="2">
        <v>44222</v>
      </c>
      <c r="D285">
        <v>89</v>
      </c>
      <c r="E285" s="1">
        <v>267.39</v>
      </c>
      <c r="F285" s="1">
        <v>1079.58</v>
      </c>
      <c r="G285" s="1">
        <v>417.3</v>
      </c>
      <c r="H285" s="1">
        <v>516.94000000000005</v>
      </c>
      <c r="I285" s="1">
        <v>91.33</v>
      </c>
      <c r="J285" s="1">
        <v>2235.12</v>
      </c>
      <c r="K285" s="1">
        <v>0</v>
      </c>
      <c r="L285">
        <v>408</v>
      </c>
      <c r="M285" s="1">
        <v>0</v>
      </c>
      <c r="N285" s="1">
        <v>2301.39</v>
      </c>
      <c r="O285">
        <v>0</v>
      </c>
      <c r="P285" s="1">
        <v>0</v>
      </c>
      <c r="Q285">
        <v>4</v>
      </c>
      <c r="R285" s="1">
        <v>2.41</v>
      </c>
      <c r="S285">
        <v>23</v>
      </c>
      <c r="T285" s="1">
        <v>38.869999999999997</v>
      </c>
      <c r="U285" s="1">
        <v>24.99</v>
      </c>
      <c r="V285">
        <v>1</v>
      </c>
      <c r="W285" s="1">
        <v>20</v>
      </c>
      <c r="X285">
        <v>19</v>
      </c>
      <c r="Y285" s="1">
        <v>0</v>
      </c>
      <c r="Z285">
        <v>73</v>
      </c>
      <c r="AA285" s="1">
        <v>227.61</v>
      </c>
      <c r="AB285">
        <v>5</v>
      </c>
      <c r="AC285" s="1">
        <v>13.96</v>
      </c>
      <c r="AD285">
        <v>2</v>
      </c>
      <c r="AE285" s="1">
        <v>0</v>
      </c>
      <c r="AF285" s="1">
        <v>0</v>
      </c>
      <c r="AG285" s="1">
        <v>0</v>
      </c>
      <c r="AH285" s="1">
        <v>0</v>
      </c>
      <c r="AI285" s="1">
        <v>0</v>
      </c>
      <c r="AJ285" s="1">
        <v>198.89</v>
      </c>
      <c r="AL285" s="1">
        <v>2235.12</v>
      </c>
      <c r="AM285" s="1">
        <v>0</v>
      </c>
      <c r="AN285" s="1">
        <v>388</v>
      </c>
      <c r="AO285" s="1">
        <v>85</v>
      </c>
      <c r="AP285" s="1">
        <v>1.41</v>
      </c>
      <c r="AQ285">
        <v>38</v>
      </c>
      <c r="AR285" s="1">
        <v>258.94</v>
      </c>
      <c r="AS285">
        <v>170</v>
      </c>
      <c r="AT285" s="1">
        <v>954.51</v>
      </c>
      <c r="AU285">
        <v>40</v>
      </c>
      <c r="AV285" s="1">
        <v>304.35000000000002</v>
      </c>
      <c r="AW285">
        <v>3</v>
      </c>
      <c r="AX285" s="1">
        <v>22.75</v>
      </c>
      <c r="AY285">
        <v>39</v>
      </c>
      <c r="AZ285" s="1">
        <v>199.26</v>
      </c>
      <c r="BA285">
        <v>1</v>
      </c>
      <c r="BB285" s="1">
        <v>2.6</v>
      </c>
      <c r="BC285">
        <v>2</v>
      </c>
      <c r="BD285" s="1">
        <v>14.29</v>
      </c>
      <c r="BE285">
        <v>5</v>
      </c>
      <c r="BF285" s="1">
        <v>25.42</v>
      </c>
      <c r="BG285">
        <v>2</v>
      </c>
      <c r="BH285" s="1">
        <v>42.63</v>
      </c>
      <c r="BK285">
        <v>4</v>
      </c>
      <c r="BL285" s="1">
        <v>30.95</v>
      </c>
      <c r="BP285">
        <v>5</v>
      </c>
      <c r="BQ285" s="1">
        <v>59.82</v>
      </c>
      <c r="BR285" s="1">
        <v>54.92</v>
      </c>
      <c r="CA285">
        <v>4</v>
      </c>
      <c r="CB285" s="1">
        <v>66.900000000000006</v>
      </c>
      <c r="CG285">
        <v>284</v>
      </c>
      <c r="CH285">
        <v>284</v>
      </c>
    </row>
    <row r="286" spans="1:86" x14ac:dyDescent="0.35">
      <c r="A286">
        <v>351323</v>
      </c>
      <c r="B286" s="2">
        <v>44222</v>
      </c>
      <c r="C286" s="2">
        <v>44222</v>
      </c>
      <c r="D286">
        <v>105</v>
      </c>
      <c r="E286" s="1">
        <v>331.09</v>
      </c>
      <c r="F286" s="1">
        <v>1473.88</v>
      </c>
      <c r="G286" s="1">
        <v>479.69</v>
      </c>
      <c r="H286" s="1">
        <v>672.76</v>
      </c>
      <c r="I286" s="1">
        <v>122.2</v>
      </c>
      <c r="J286" s="1">
        <v>2906.2</v>
      </c>
      <c r="K286" s="1">
        <v>218.83</v>
      </c>
      <c r="L286">
        <v>596</v>
      </c>
      <c r="M286" s="1">
        <v>219.07</v>
      </c>
      <c r="N286" s="1">
        <v>3022.75</v>
      </c>
      <c r="O286">
        <v>0</v>
      </c>
      <c r="P286" s="1">
        <v>0</v>
      </c>
      <c r="Q286">
        <v>6</v>
      </c>
      <c r="R286" s="1">
        <v>1.29</v>
      </c>
      <c r="S286">
        <v>47</v>
      </c>
      <c r="T286" s="1">
        <v>78.78</v>
      </c>
      <c r="U286" s="1">
        <v>36.72</v>
      </c>
      <c r="V286">
        <v>0</v>
      </c>
      <c r="W286" s="1">
        <v>0</v>
      </c>
      <c r="X286">
        <v>10</v>
      </c>
      <c r="Y286" s="1">
        <v>0</v>
      </c>
      <c r="Z286">
        <v>79</v>
      </c>
      <c r="AA286" s="1">
        <v>221.09</v>
      </c>
      <c r="AB286">
        <v>11</v>
      </c>
      <c r="AC286" s="1">
        <v>28.89</v>
      </c>
      <c r="AD286">
        <v>6</v>
      </c>
      <c r="AE286" s="1">
        <v>14.59</v>
      </c>
      <c r="AF286" s="1">
        <v>0</v>
      </c>
      <c r="AG286" s="1">
        <v>0</v>
      </c>
      <c r="AH286" s="1">
        <v>0</v>
      </c>
      <c r="AI286" s="1">
        <v>0</v>
      </c>
      <c r="AJ286" s="1">
        <v>187.42</v>
      </c>
      <c r="AL286" s="1">
        <v>3125.03</v>
      </c>
      <c r="AM286" s="1">
        <v>0</v>
      </c>
      <c r="AN286" s="1">
        <v>759</v>
      </c>
      <c r="AO286" s="1">
        <v>0</v>
      </c>
      <c r="AP286" s="1">
        <v>4.41</v>
      </c>
      <c r="AQ286">
        <v>98</v>
      </c>
      <c r="AR286" s="1">
        <v>571.13</v>
      </c>
      <c r="AS286">
        <v>254</v>
      </c>
      <c r="AT286" s="1">
        <v>1528.45</v>
      </c>
      <c r="AU286">
        <v>9</v>
      </c>
      <c r="AV286" s="1">
        <v>64.06</v>
      </c>
      <c r="AW286">
        <v>5</v>
      </c>
      <c r="AX286" s="1">
        <v>19.95</v>
      </c>
      <c r="AY286">
        <v>56</v>
      </c>
      <c r="AZ286" s="1">
        <v>261.55</v>
      </c>
      <c r="BE286">
        <v>9</v>
      </c>
      <c r="BF286" s="1">
        <v>27.83</v>
      </c>
      <c r="BK286">
        <v>7</v>
      </c>
      <c r="BL286" s="1">
        <v>33.1</v>
      </c>
      <c r="BP286">
        <v>2</v>
      </c>
      <c r="BQ286" s="1">
        <v>27.27</v>
      </c>
      <c r="BZ286">
        <v>1</v>
      </c>
      <c r="CA286">
        <v>3</v>
      </c>
      <c r="CB286" s="1">
        <v>24.52</v>
      </c>
      <c r="CG286">
        <v>285</v>
      </c>
      <c r="CH286">
        <v>285</v>
      </c>
    </row>
    <row r="287" spans="1:86" x14ac:dyDescent="0.35">
      <c r="A287">
        <v>353927</v>
      </c>
      <c r="B287" s="2">
        <v>44222</v>
      </c>
      <c r="C287" s="2">
        <v>44222</v>
      </c>
      <c r="D287">
        <v>126</v>
      </c>
      <c r="E287" s="1">
        <v>422.47</v>
      </c>
      <c r="F287" s="1">
        <v>1494.75</v>
      </c>
      <c r="G287" s="1">
        <v>489.36</v>
      </c>
      <c r="H287" s="1">
        <v>666.98</v>
      </c>
      <c r="I287" s="1">
        <v>101.11</v>
      </c>
      <c r="J287" s="1">
        <v>2930.56</v>
      </c>
      <c r="K287" s="1">
        <v>0</v>
      </c>
      <c r="L287">
        <v>557</v>
      </c>
      <c r="M287" s="1">
        <v>0</v>
      </c>
      <c r="N287" s="1">
        <v>3068.84</v>
      </c>
      <c r="O287">
        <v>1</v>
      </c>
      <c r="P287" s="1">
        <v>2.19</v>
      </c>
      <c r="Q287">
        <v>2</v>
      </c>
      <c r="R287" s="1">
        <v>5.54</v>
      </c>
      <c r="S287">
        <v>54</v>
      </c>
      <c r="T287" s="1">
        <v>93.37</v>
      </c>
      <c r="U287" s="1">
        <v>37.18</v>
      </c>
      <c r="V287">
        <v>1</v>
      </c>
      <c r="W287" s="1">
        <v>20</v>
      </c>
      <c r="X287">
        <v>8</v>
      </c>
      <c r="Y287" s="1">
        <v>0</v>
      </c>
      <c r="Z287">
        <v>95</v>
      </c>
      <c r="AA287" s="1">
        <v>256.52</v>
      </c>
      <c r="AB287">
        <v>13</v>
      </c>
      <c r="AC287" s="1">
        <v>29.67</v>
      </c>
      <c r="AD287">
        <v>5</v>
      </c>
      <c r="AE287" s="1">
        <v>19.28</v>
      </c>
      <c r="AF287" s="1">
        <v>0</v>
      </c>
      <c r="AG287" s="1">
        <v>0</v>
      </c>
      <c r="AH287" s="1">
        <v>0</v>
      </c>
      <c r="AI287" s="1">
        <v>0</v>
      </c>
      <c r="AJ287" s="1">
        <v>175.74</v>
      </c>
      <c r="AL287" s="1">
        <v>2930.56</v>
      </c>
      <c r="AM287" s="1">
        <v>0</v>
      </c>
      <c r="AN287" s="1">
        <v>651</v>
      </c>
      <c r="AO287" s="1">
        <v>0</v>
      </c>
      <c r="AP287" s="1">
        <v>0.59</v>
      </c>
      <c r="AQ287">
        <v>84</v>
      </c>
      <c r="AR287" s="1">
        <v>542.04999999999995</v>
      </c>
      <c r="AS287">
        <v>251</v>
      </c>
      <c r="AT287" s="1">
        <v>1464.16</v>
      </c>
      <c r="AU287">
        <v>5</v>
      </c>
      <c r="AV287" s="1">
        <v>43</v>
      </c>
      <c r="AW287">
        <v>4</v>
      </c>
      <c r="AX287" s="1">
        <v>16.79</v>
      </c>
      <c r="AY287">
        <v>45</v>
      </c>
      <c r="AZ287" s="1">
        <v>212.73</v>
      </c>
      <c r="BE287">
        <v>12</v>
      </c>
      <c r="BF287" s="1">
        <v>70.58</v>
      </c>
      <c r="BG287">
        <v>1</v>
      </c>
      <c r="BH287" s="1">
        <v>7.07</v>
      </c>
      <c r="BK287">
        <v>6</v>
      </c>
      <c r="BL287" s="1">
        <v>52.74</v>
      </c>
      <c r="BP287">
        <v>5</v>
      </c>
      <c r="BQ287" s="1">
        <v>47.31</v>
      </c>
      <c r="BR287" s="1">
        <v>44.63</v>
      </c>
      <c r="CA287">
        <v>3</v>
      </c>
      <c r="CB287" s="1">
        <v>19.46</v>
      </c>
      <c r="CG287">
        <v>286</v>
      </c>
      <c r="CH287">
        <v>286</v>
      </c>
    </row>
    <row r="288" spans="1:86" x14ac:dyDescent="0.35">
      <c r="A288">
        <v>354030</v>
      </c>
      <c r="B288" s="2">
        <v>44222</v>
      </c>
      <c r="C288" s="2">
        <v>44222</v>
      </c>
      <c r="D288">
        <v>122</v>
      </c>
      <c r="E288" s="1">
        <v>393.64</v>
      </c>
      <c r="F288" s="1">
        <v>1342.31</v>
      </c>
      <c r="G288" s="1">
        <v>562.85</v>
      </c>
      <c r="H288" s="1">
        <v>627</v>
      </c>
      <c r="I288" s="1">
        <v>73.45</v>
      </c>
      <c r="J288" s="1">
        <v>2765.62</v>
      </c>
      <c r="K288" s="1">
        <v>121.69</v>
      </c>
      <c r="L288">
        <v>472</v>
      </c>
      <c r="M288" s="1">
        <v>136.37</v>
      </c>
      <c r="N288" s="1">
        <v>2884.5</v>
      </c>
      <c r="O288">
        <v>1</v>
      </c>
      <c r="P288" s="1">
        <v>13.18</v>
      </c>
      <c r="Q288">
        <v>8</v>
      </c>
      <c r="R288" s="1">
        <v>16.89</v>
      </c>
      <c r="S288">
        <v>36</v>
      </c>
      <c r="T288" s="1">
        <v>74.83</v>
      </c>
      <c r="U288" s="1">
        <v>28.66</v>
      </c>
      <c r="V288">
        <v>2</v>
      </c>
      <c r="W288" s="1">
        <v>30</v>
      </c>
      <c r="X288">
        <v>5</v>
      </c>
      <c r="Y288" s="1">
        <v>0</v>
      </c>
      <c r="Z288">
        <v>24</v>
      </c>
      <c r="AA288" s="1">
        <v>52.84</v>
      </c>
      <c r="AB288">
        <v>13</v>
      </c>
      <c r="AC288" s="1">
        <v>36.270000000000003</v>
      </c>
      <c r="AD288">
        <v>0</v>
      </c>
      <c r="AE288" s="1">
        <v>0</v>
      </c>
      <c r="AF288" s="1">
        <v>0</v>
      </c>
      <c r="AG288" s="1">
        <v>0</v>
      </c>
      <c r="AH288" s="1">
        <v>0</v>
      </c>
      <c r="AI288" s="1">
        <v>0</v>
      </c>
      <c r="AJ288" s="1">
        <v>173.15</v>
      </c>
      <c r="AL288" s="1">
        <v>2887.31</v>
      </c>
      <c r="AM288" s="1">
        <v>0</v>
      </c>
      <c r="AN288" s="1">
        <v>541</v>
      </c>
      <c r="AO288" s="1">
        <v>0</v>
      </c>
      <c r="AP288" s="1">
        <v>3.55</v>
      </c>
      <c r="AQ288">
        <v>66</v>
      </c>
      <c r="AR288" s="1">
        <v>424.16</v>
      </c>
      <c r="AS288">
        <v>180</v>
      </c>
      <c r="AT288" s="1">
        <v>1382.28</v>
      </c>
      <c r="AU288">
        <v>17</v>
      </c>
      <c r="AV288" s="1">
        <v>113.23</v>
      </c>
      <c r="AW288">
        <v>8</v>
      </c>
      <c r="AX288" s="1">
        <v>50.63</v>
      </c>
      <c r="AY288">
        <v>67</v>
      </c>
      <c r="AZ288" s="1">
        <v>338.58</v>
      </c>
      <c r="BA288">
        <v>1</v>
      </c>
      <c r="BB288" s="1">
        <v>7.08</v>
      </c>
      <c r="BC288">
        <v>1</v>
      </c>
      <c r="BD288" s="1">
        <v>6.36</v>
      </c>
      <c r="BE288">
        <v>14</v>
      </c>
      <c r="BF288" s="1">
        <v>89.13</v>
      </c>
      <c r="BG288">
        <v>2</v>
      </c>
      <c r="BH288" s="1">
        <v>4.1100000000000003</v>
      </c>
      <c r="BK288">
        <v>6</v>
      </c>
      <c r="BL288" s="1">
        <v>50.7</v>
      </c>
      <c r="BM288">
        <v>1</v>
      </c>
      <c r="BN288" s="1">
        <v>4.76</v>
      </c>
      <c r="BO288" s="1">
        <v>4.49</v>
      </c>
      <c r="CA288">
        <v>7</v>
      </c>
      <c r="CB288" s="1">
        <v>81.99</v>
      </c>
      <c r="CG288">
        <v>287</v>
      </c>
      <c r="CH288">
        <v>287</v>
      </c>
    </row>
    <row r="289" spans="1:86" x14ac:dyDescent="0.35">
      <c r="A289">
        <v>355439</v>
      </c>
      <c r="B289" s="2">
        <v>44222</v>
      </c>
      <c r="C289" s="2">
        <v>44222</v>
      </c>
      <c r="D289">
        <v>154</v>
      </c>
      <c r="E289" s="1">
        <v>457.42</v>
      </c>
      <c r="F289" s="1">
        <v>1695.11</v>
      </c>
      <c r="G289" s="1">
        <v>573.96</v>
      </c>
      <c r="H289" s="1">
        <v>699.57</v>
      </c>
      <c r="I289" s="1">
        <v>119.29</v>
      </c>
      <c r="J289" s="1">
        <v>3334.63</v>
      </c>
      <c r="K289" s="1">
        <v>0</v>
      </c>
      <c r="L289">
        <v>669</v>
      </c>
      <c r="M289" s="1">
        <v>0</v>
      </c>
      <c r="N289" s="1">
        <v>3488.83</v>
      </c>
      <c r="O289">
        <v>1</v>
      </c>
      <c r="P289" s="1">
        <v>5.38</v>
      </c>
      <c r="Q289">
        <v>12</v>
      </c>
      <c r="R289" s="1">
        <v>6.94</v>
      </c>
      <c r="S289">
        <v>56</v>
      </c>
      <c r="T289" s="1">
        <v>105.79</v>
      </c>
      <c r="U289" s="1">
        <v>36.090000000000003</v>
      </c>
      <c r="V289">
        <v>34</v>
      </c>
      <c r="W289" s="1">
        <v>340</v>
      </c>
      <c r="X289">
        <v>11</v>
      </c>
      <c r="Y289" s="1">
        <v>0</v>
      </c>
      <c r="Z289">
        <v>71</v>
      </c>
      <c r="AA289" s="1">
        <v>175.45</v>
      </c>
      <c r="AB289">
        <v>12</v>
      </c>
      <c r="AC289" s="1">
        <v>36.53</v>
      </c>
      <c r="AD289">
        <v>7</v>
      </c>
      <c r="AE289" s="1">
        <v>16.420000000000002</v>
      </c>
      <c r="AF289" s="1">
        <v>1</v>
      </c>
      <c r="AG289" s="1">
        <v>1</v>
      </c>
      <c r="AH289" s="1">
        <v>0</v>
      </c>
      <c r="AI289" s="1">
        <v>0</v>
      </c>
      <c r="AJ289" s="1">
        <v>266.88</v>
      </c>
      <c r="AL289" s="1">
        <v>3334.63</v>
      </c>
      <c r="AM289" s="1">
        <v>1</v>
      </c>
      <c r="AN289" s="1">
        <v>640</v>
      </c>
      <c r="AO289" s="1">
        <v>0</v>
      </c>
      <c r="AP289" s="1">
        <v>55.97</v>
      </c>
      <c r="AQ289">
        <v>96</v>
      </c>
      <c r="AR289" s="1">
        <v>925.2</v>
      </c>
      <c r="AS289">
        <v>275</v>
      </c>
      <c r="AT289" s="1">
        <v>1591.14</v>
      </c>
      <c r="AU289">
        <v>31</v>
      </c>
      <c r="AV289" s="1">
        <v>188.84</v>
      </c>
      <c r="AW289">
        <v>4</v>
      </c>
      <c r="AX289" s="1">
        <v>19.14</v>
      </c>
      <c r="AY289">
        <v>69</v>
      </c>
      <c r="AZ289" s="1">
        <v>300.29000000000002</v>
      </c>
      <c r="BA289">
        <v>3</v>
      </c>
      <c r="BB289" s="1">
        <v>21.67</v>
      </c>
      <c r="BC289">
        <v>1</v>
      </c>
      <c r="BD289" s="1">
        <v>4.47</v>
      </c>
      <c r="BE289">
        <v>11</v>
      </c>
      <c r="BF289" s="1">
        <v>63.34</v>
      </c>
      <c r="BG289">
        <v>3</v>
      </c>
      <c r="BH289" s="1">
        <v>15.9</v>
      </c>
      <c r="BK289">
        <v>17</v>
      </c>
      <c r="BL289" s="1">
        <v>96.56</v>
      </c>
      <c r="BP289">
        <v>3</v>
      </c>
      <c r="BQ289" s="1">
        <v>35.76</v>
      </c>
      <c r="BR289" s="1">
        <v>33.11</v>
      </c>
      <c r="CA289">
        <v>8</v>
      </c>
      <c r="CB289" s="1">
        <v>96.17</v>
      </c>
      <c r="CG289">
        <v>288</v>
      </c>
      <c r="CH289">
        <v>288</v>
      </c>
    </row>
    <row r="290" spans="1:86" x14ac:dyDescent="0.35">
      <c r="A290">
        <v>350432</v>
      </c>
      <c r="B290" s="2">
        <v>44223</v>
      </c>
      <c r="C290" s="2">
        <v>44223</v>
      </c>
      <c r="D290">
        <v>165</v>
      </c>
      <c r="E290" s="1">
        <v>536.73</v>
      </c>
      <c r="F290" s="1">
        <v>2003.17</v>
      </c>
      <c r="G290" s="1">
        <v>407.25</v>
      </c>
      <c r="H290" s="1">
        <v>864.42</v>
      </c>
      <c r="I290" s="1">
        <v>156.30000000000001</v>
      </c>
      <c r="J290" s="1">
        <v>3736.85</v>
      </c>
      <c r="K290" s="1">
        <v>392.7</v>
      </c>
      <c r="L290">
        <v>736</v>
      </c>
      <c r="M290" s="1">
        <v>397.99</v>
      </c>
      <c r="N290" s="1">
        <v>3876.41</v>
      </c>
      <c r="O290">
        <v>1</v>
      </c>
      <c r="P290" s="1">
        <v>4.29</v>
      </c>
      <c r="Q290">
        <v>9</v>
      </c>
      <c r="R290" s="1">
        <v>7.9</v>
      </c>
      <c r="S290">
        <v>57</v>
      </c>
      <c r="T290" s="1">
        <v>97.68</v>
      </c>
      <c r="U290" s="1">
        <v>34.979999999999997</v>
      </c>
      <c r="V290">
        <v>1</v>
      </c>
      <c r="W290" s="1">
        <v>25</v>
      </c>
      <c r="X290">
        <v>13</v>
      </c>
      <c r="Y290" s="1">
        <v>0</v>
      </c>
      <c r="Z290">
        <v>191</v>
      </c>
      <c r="AA290" s="1">
        <v>511.01</v>
      </c>
      <c r="AB290">
        <v>27</v>
      </c>
      <c r="AC290" s="1">
        <v>73.510000000000005</v>
      </c>
      <c r="AD290">
        <v>0</v>
      </c>
      <c r="AE290" s="1">
        <v>0</v>
      </c>
      <c r="AF290" s="1">
        <v>0</v>
      </c>
      <c r="AG290" s="1">
        <v>0</v>
      </c>
      <c r="AH290" s="1">
        <v>0</v>
      </c>
      <c r="AI290" s="1">
        <v>0</v>
      </c>
      <c r="AJ290" s="1">
        <v>367.25</v>
      </c>
      <c r="AL290" s="1">
        <v>4129.55</v>
      </c>
      <c r="AM290" s="1">
        <v>0</v>
      </c>
      <c r="AN290" s="1">
        <v>385</v>
      </c>
      <c r="AO290" s="1">
        <v>11.03</v>
      </c>
      <c r="AP290" s="1">
        <v>-423.29</v>
      </c>
      <c r="AQ290">
        <v>90</v>
      </c>
      <c r="AR290" s="1">
        <v>567.75</v>
      </c>
      <c r="AS290">
        <v>338</v>
      </c>
      <c r="AT290" s="1">
        <v>2127.46</v>
      </c>
      <c r="AU290">
        <v>31</v>
      </c>
      <c r="AV290" s="1">
        <v>326.77999999999997</v>
      </c>
      <c r="AW290">
        <v>8</v>
      </c>
      <c r="AX290" s="1">
        <v>71.25</v>
      </c>
      <c r="AY290">
        <v>67</v>
      </c>
      <c r="AZ290" s="1">
        <v>348.69</v>
      </c>
      <c r="BA290">
        <v>3</v>
      </c>
      <c r="BB290" s="1">
        <v>10.95</v>
      </c>
      <c r="BC290">
        <v>2</v>
      </c>
      <c r="BD290" s="1">
        <v>10.59</v>
      </c>
      <c r="BE290">
        <v>18</v>
      </c>
      <c r="BF290" s="1">
        <v>100.75</v>
      </c>
      <c r="BG290">
        <v>2</v>
      </c>
      <c r="BH290" s="1">
        <v>7.37</v>
      </c>
      <c r="BK290">
        <v>7</v>
      </c>
      <c r="BL290" s="1">
        <v>39.99</v>
      </c>
      <c r="BM290">
        <v>1</v>
      </c>
      <c r="BN290" s="1">
        <v>5</v>
      </c>
      <c r="BO290" s="1">
        <v>4.59</v>
      </c>
      <c r="BP290">
        <v>4</v>
      </c>
      <c r="BQ290" s="1">
        <v>45.49</v>
      </c>
      <c r="BR290" s="1">
        <v>41.77</v>
      </c>
      <c r="CA290">
        <v>5</v>
      </c>
      <c r="CB290" s="1">
        <v>40.409999999999997</v>
      </c>
      <c r="CG290">
        <v>289</v>
      </c>
      <c r="CH290">
        <v>289</v>
      </c>
    </row>
    <row r="291" spans="1:86" x14ac:dyDescent="0.35">
      <c r="A291">
        <v>350437</v>
      </c>
      <c r="B291" s="2">
        <v>44223</v>
      </c>
      <c r="C291" s="2">
        <v>44223</v>
      </c>
      <c r="D291">
        <v>116</v>
      </c>
      <c r="E291" s="1">
        <v>376.29</v>
      </c>
      <c r="F291" s="1">
        <v>1125.5899999999999</v>
      </c>
      <c r="G291" s="1">
        <v>388.84</v>
      </c>
      <c r="H291" s="1">
        <v>533.72</v>
      </c>
      <c r="I291" s="1">
        <v>112.25</v>
      </c>
      <c r="J291" s="1">
        <v>2347.92</v>
      </c>
      <c r="K291" s="1">
        <v>0</v>
      </c>
      <c r="L291">
        <v>429</v>
      </c>
      <c r="M291" s="1">
        <v>0</v>
      </c>
      <c r="N291" s="1">
        <v>2400.5</v>
      </c>
      <c r="O291">
        <v>0</v>
      </c>
      <c r="P291" s="1">
        <v>0</v>
      </c>
      <c r="Q291">
        <v>4</v>
      </c>
      <c r="R291" s="1">
        <v>1.66</v>
      </c>
      <c r="S291">
        <v>23</v>
      </c>
      <c r="T291" s="1">
        <v>34.82</v>
      </c>
      <c r="U291" s="1">
        <v>16.100000000000001</v>
      </c>
      <c r="V291">
        <v>0</v>
      </c>
      <c r="W291" s="1">
        <v>0</v>
      </c>
      <c r="X291">
        <v>14</v>
      </c>
      <c r="Y291" s="1">
        <v>0</v>
      </c>
      <c r="Z291">
        <v>112</v>
      </c>
      <c r="AA291" s="1">
        <v>318.27999999999997</v>
      </c>
      <c r="AB291">
        <v>18</v>
      </c>
      <c r="AC291" s="1">
        <v>50.47</v>
      </c>
      <c r="AD291">
        <v>4</v>
      </c>
      <c r="AE291" s="1">
        <v>10.62</v>
      </c>
      <c r="AF291" s="1">
        <v>0</v>
      </c>
      <c r="AG291" s="1">
        <v>0</v>
      </c>
      <c r="AH291" s="1">
        <v>0</v>
      </c>
      <c r="AI291" s="1">
        <v>0</v>
      </c>
      <c r="AJ291" s="1">
        <v>208.75</v>
      </c>
      <c r="AL291" s="1">
        <v>2347.92</v>
      </c>
      <c r="AM291" s="1">
        <v>0</v>
      </c>
      <c r="AN291" s="1">
        <v>344</v>
      </c>
      <c r="AO291" s="1">
        <v>0</v>
      </c>
      <c r="AP291" s="1">
        <v>12.14</v>
      </c>
      <c r="AQ291">
        <v>47</v>
      </c>
      <c r="AR291" s="1">
        <v>308.25</v>
      </c>
      <c r="AS291">
        <v>197</v>
      </c>
      <c r="AT291" s="1">
        <v>1193.51</v>
      </c>
      <c r="AU291">
        <v>41</v>
      </c>
      <c r="AV291" s="1">
        <v>256.49</v>
      </c>
      <c r="AW291">
        <v>5</v>
      </c>
      <c r="AX291" s="1">
        <v>33.67</v>
      </c>
      <c r="AY291">
        <v>43</v>
      </c>
      <c r="AZ291" s="1">
        <v>193.03</v>
      </c>
      <c r="BA291">
        <v>1</v>
      </c>
      <c r="BB291" s="1">
        <v>8.84</v>
      </c>
      <c r="BC291">
        <v>1</v>
      </c>
      <c r="BD291" s="1">
        <v>3.37</v>
      </c>
      <c r="BE291">
        <v>6</v>
      </c>
      <c r="BF291" s="1">
        <v>37.97</v>
      </c>
      <c r="BG291">
        <v>1</v>
      </c>
      <c r="BH291" s="1">
        <v>24.26</v>
      </c>
      <c r="BK291">
        <v>4</v>
      </c>
      <c r="BL291" s="1">
        <v>27.62</v>
      </c>
      <c r="BM291">
        <v>1</v>
      </c>
      <c r="BN291" s="1">
        <v>20.2</v>
      </c>
      <c r="BO291" s="1">
        <v>18.55</v>
      </c>
      <c r="BP291">
        <v>8</v>
      </c>
      <c r="BQ291" s="1">
        <v>88.6</v>
      </c>
      <c r="BR291" s="1">
        <v>76.290000000000006</v>
      </c>
      <c r="CA291">
        <v>4</v>
      </c>
      <c r="CB291" s="1">
        <v>29</v>
      </c>
      <c r="CG291">
        <v>290</v>
      </c>
      <c r="CH291">
        <v>290</v>
      </c>
    </row>
    <row r="292" spans="1:86" x14ac:dyDescent="0.35">
      <c r="A292">
        <v>351323</v>
      </c>
      <c r="B292" s="2">
        <v>44223</v>
      </c>
      <c r="C292" s="2">
        <v>44223</v>
      </c>
      <c r="D292">
        <v>133</v>
      </c>
      <c r="E292" s="1">
        <v>443.8</v>
      </c>
      <c r="F292" s="1">
        <v>1644.03</v>
      </c>
      <c r="G292" s="1">
        <v>497.06</v>
      </c>
      <c r="H292" s="1">
        <v>603.51</v>
      </c>
      <c r="I292" s="1">
        <v>97.9</v>
      </c>
      <c r="J292" s="1">
        <v>3067.31</v>
      </c>
      <c r="K292" s="1">
        <v>340.79</v>
      </c>
      <c r="L292">
        <v>636</v>
      </c>
      <c r="M292" s="1">
        <v>342.98</v>
      </c>
      <c r="N292" s="1">
        <v>3175.99</v>
      </c>
      <c r="O292">
        <v>2</v>
      </c>
      <c r="P292" s="1">
        <v>6.98</v>
      </c>
      <c r="Q292">
        <v>6</v>
      </c>
      <c r="R292" s="1">
        <v>0.87</v>
      </c>
      <c r="S292">
        <v>52</v>
      </c>
      <c r="T292" s="1">
        <v>71.95</v>
      </c>
      <c r="U292" s="1">
        <v>31.07</v>
      </c>
      <c r="V292">
        <v>0</v>
      </c>
      <c r="W292" s="1">
        <v>0</v>
      </c>
      <c r="X292">
        <v>18</v>
      </c>
      <c r="Y292" s="1">
        <v>0</v>
      </c>
      <c r="Z292">
        <v>109</v>
      </c>
      <c r="AA292" s="1">
        <v>378.04</v>
      </c>
      <c r="AB292">
        <v>38</v>
      </c>
      <c r="AC292" s="1">
        <v>97.79</v>
      </c>
      <c r="AD292">
        <v>5</v>
      </c>
      <c r="AE292" s="1">
        <v>7.4</v>
      </c>
      <c r="AF292" s="1">
        <v>0</v>
      </c>
      <c r="AG292" s="1">
        <v>0</v>
      </c>
      <c r="AH292" s="1">
        <v>0</v>
      </c>
      <c r="AI292" s="1">
        <v>0</v>
      </c>
      <c r="AJ292" s="1">
        <v>204.45</v>
      </c>
      <c r="AL292" s="1">
        <v>3408.1</v>
      </c>
      <c r="AM292" s="1">
        <v>0</v>
      </c>
      <c r="AN292" s="1">
        <v>793</v>
      </c>
      <c r="AO292" s="1">
        <v>0</v>
      </c>
      <c r="AP292" s="1">
        <v>19.190000000000001</v>
      </c>
      <c r="AQ292">
        <v>101</v>
      </c>
      <c r="AR292" s="1">
        <v>667.19</v>
      </c>
      <c r="AS292">
        <v>266</v>
      </c>
      <c r="AT292" s="1">
        <v>1585.49</v>
      </c>
      <c r="AU292">
        <v>8</v>
      </c>
      <c r="AV292" s="1">
        <v>47.58</v>
      </c>
      <c r="AW292">
        <v>2</v>
      </c>
      <c r="AX292" s="1">
        <v>19.02</v>
      </c>
      <c r="AY292">
        <v>74</v>
      </c>
      <c r="AZ292" s="1">
        <v>313.51</v>
      </c>
      <c r="BA292">
        <v>1</v>
      </c>
      <c r="BB292" s="1">
        <v>21.67</v>
      </c>
      <c r="BE292">
        <v>11</v>
      </c>
      <c r="BF292" s="1">
        <v>46.54</v>
      </c>
      <c r="BG292">
        <v>2</v>
      </c>
      <c r="BH292" s="1">
        <v>4.32</v>
      </c>
      <c r="BK292">
        <v>7</v>
      </c>
      <c r="BL292" s="1">
        <v>48.15</v>
      </c>
      <c r="BM292">
        <v>1</v>
      </c>
      <c r="BN292" s="1">
        <v>4.63</v>
      </c>
      <c r="BO292" s="1">
        <v>4.37</v>
      </c>
      <c r="BP292">
        <v>5</v>
      </c>
      <c r="BQ292" s="1">
        <v>46.59</v>
      </c>
      <c r="BR292" s="1">
        <v>38.06</v>
      </c>
      <c r="CA292">
        <v>2</v>
      </c>
      <c r="CB292" s="1">
        <v>34.049999999999997</v>
      </c>
      <c r="CG292">
        <v>291</v>
      </c>
      <c r="CH292">
        <v>291</v>
      </c>
    </row>
    <row r="293" spans="1:86" x14ac:dyDescent="0.35">
      <c r="A293">
        <v>353927</v>
      </c>
      <c r="B293" s="2">
        <v>44223</v>
      </c>
      <c r="C293" s="2">
        <v>44223</v>
      </c>
      <c r="D293">
        <v>128</v>
      </c>
      <c r="E293" s="1">
        <v>467.25</v>
      </c>
      <c r="F293" s="1">
        <v>1662.63</v>
      </c>
      <c r="G293" s="1">
        <v>596.69000000000005</v>
      </c>
      <c r="H293" s="1">
        <v>741.42</v>
      </c>
      <c r="I293" s="1">
        <v>146.85</v>
      </c>
      <c r="J293" s="1">
        <v>3337.44</v>
      </c>
      <c r="K293" s="1">
        <v>0</v>
      </c>
      <c r="L293">
        <v>596</v>
      </c>
      <c r="M293" s="1">
        <v>0</v>
      </c>
      <c r="N293" s="1">
        <v>3456.78</v>
      </c>
      <c r="O293">
        <v>0</v>
      </c>
      <c r="P293" s="1">
        <v>0</v>
      </c>
      <c r="Q293">
        <v>2</v>
      </c>
      <c r="R293" s="1">
        <v>0.22</v>
      </c>
      <c r="S293">
        <v>52</v>
      </c>
      <c r="T293" s="1">
        <v>72.319999999999993</v>
      </c>
      <c r="U293" s="1">
        <v>46.8</v>
      </c>
      <c r="V293">
        <v>0</v>
      </c>
      <c r="W293" s="1">
        <v>0</v>
      </c>
      <c r="X293">
        <v>11</v>
      </c>
      <c r="Y293" s="1">
        <v>0</v>
      </c>
      <c r="Z293">
        <v>107</v>
      </c>
      <c r="AA293" s="1">
        <v>309.41000000000003</v>
      </c>
      <c r="AB293">
        <v>13</v>
      </c>
      <c r="AC293" s="1">
        <v>33.07</v>
      </c>
      <c r="AD293">
        <v>0</v>
      </c>
      <c r="AE293" s="1">
        <v>0</v>
      </c>
      <c r="AF293" s="1">
        <v>0</v>
      </c>
      <c r="AG293" s="1">
        <v>0</v>
      </c>
      <c r="AH293" s="1">
        <v>0</v>
      </c>
      <c r="AI293" s="1">
        <v>0</v>
      </c>
      <c r="AJ293" s="1">
        <v>200.12</v>
      </c>
      <c r="AL293" s="1">
        <v>3337.44</v>
      </c>
      <c r="AM293" s="1">
        <v>0</v>
      </c>
      <c r="AN293" s="1">
        <v>818</v>
      </c>
      <c r="AO293" s="1">
        <v>0</v>
      </c>
      <c r="AP293" s="1">
        <v>1.29</v>
      </c>
      <c r="AQ293">
        <v>85</v>
      </c>
      <c r="AR293" s="1">
        <v>479.43</v>
      </c>
      <c r="AS293">
        <v>248</v>
      </c>
      <c r="AT293" s="1">
        <v>1566.49</v>
      </c>
      <c r="AU293">
        <v>5</v>
      </c>
      <c r="AV293" s="1">
        <v>24.28</v>
      </c>
      <c r="AW293">
        <v>8</v>
      </c>
      <c r="AX293" s="1">
        <v>59.42</v>
      </c>
      <c r="AY293">
        <v>56</v>
      </c>
      <c r="AZ293" s="1">
        <v>270.87</v>
      </c>
      <c r="BA293">
        <v>1</v>
      </c>
      <c r="BB293" s="1">
        <v>7.07</v>
      </c>
      <c r="BE293">
        <v>13</v>
      </c>
      <c r="BF293" s="1">
        <v>75.39</v>
      </c>
      <c r="BG293">
        <v>1</v>
      </c>
      <c r="BH293" s="1">
        <v>8.56</v>
      </c>
      <c r="BK293">
        <v>9</v>
      </c>
      <c r="BL293" s="1">
        <v>51.97</v>
      </c>
      <c r="BP293">
        <v>3</v>
      </c>
      <c r="BQ293" s="1">
        <v>35.47</v>
      </c>
      <c r="BR293" s="1">
        <v>41.03</v>
      </c>
      <c r="CA293">
        <v>10</v>
      </c>
      <c r="CB293" s="1">
        <v>141.9</v>
      </c>
      <c r="CG293">
        <v>292</v>
      </c>
      <c r="CH293">
        <v>292</v>
      </c>
    </row>
    <row r="294" spans="1:86" x14ac:dyDescent="0.35">
      <c r="A294">
        <v>354030</v>
      </c>
      <c r="B294" s="2">
        <v>44223</v>
      </c>
      <c r="C294" s="2">
        <v>44223</v>
      </c>
      <c r="D294">
        <v>110</v>
      </c>
      <c r="E294" s="1">
        <v>409.26</v>
      </c>
      <c r="F294" s="1">
        <v>1420.7</v>
      </c>
      <c r="G294" s="1">
        <v>539.32000000000005</v>
      </c>
      <c r="H294" s="1">
        <v>510.76</v>
      </c>
      <c r="I294" s="1">
        <v>126.29</v>
      </c>
      <c r="J294" s="1">
        <v>2749.4</v>
      </c>
      <c r="K294" s="1">
        <v>105.41</v>
      </c>
      <c r="L294">
        <v>498</v>
      </c>
      <c r="M294" s="1">
        <v>107.6</v>
      </c>
      <c r="N294" s="1">
        <v>2881.33</v>
      </c>
      <c r="O294">
        <v>0</v>
      </c>
      <c r="P294" s="1">
        <v>0</v>
      </c>
      <c r="Q294">
        <v>5</v>
      </c>
      <c r="R294" s="1">
        <v>11.75</v>
      </c>
      <c r="S294">
        <v>50</v>
      </c>
      <c r="T294" s="1">
        <v>80.14</v>
      </c>
      <c r="U294" s="1">
        <v>42.23</v>
      </c>
      <c r="V294">
        <v>2</v>
      </c>
      <c r="W294" s="1">
        <v>10</v>
      </c>
      <c r="X294">
        <v>5</v>
      </c>
      <c r="Y294" s="1">
        <v>0</v>
      </c>
      <c r="Z294">
        <v>80</v>
      </c>
      <c r="AA294" s="1">
        <v>228.51</v>
      </c>
      <c r="AB294">
        <v>9</v>
      </c>
      <c r="AC294" s="1">
        <v>21.06</v>
      </c>
      <c r="AD294">
        <v>3</v>
      </c>
      <c r="AE294" s="1">
        <v>0</v>
      </c>
      <c r="AF294" s="1">
        <v>0</v>
      </c>
      <c r="AG294" s="1">
        <v>0</v>
      </c>
      <c r="AH294" s="1">
        <v>0</v>
      </c>
      <c r="AI294" s="1">
        <v>0</v>
      </c>
      <c r="AJ294" s="1">
        <v>171.11</v>
      </c>
      <c r="AL294" s="1">
        <v>2854.81</v>
      </c>
      <c r="AM294" s="1">
        <v>0</v>
      </c>
      <c r="AN294" s="1">
        <v>447</v>
      </c>
      <c r="AO294" s="1">
        <v>0</v>
      </c>
      <c r="AP294" s="1">
        <v>12.44</v>
      </c>
      <c r="AQ294">
        <v>71</v>
      </c>
      <c r="AR294" s="1">
        <v>421.48</v>
      </c>
      <c r="AS294">
        <v>218</v>
      </c>
      <c r="AT294" s="1">
        <v>1537.79</v>
      </c>
      <c r="AU294">
        <v>11</v>
      </c>
      <c r="AV294" s="1">
        <v>54.96</v>
      </c>
      <c r="AW294">
        <v>9</v>
      </c>
      <c r="AX294" s="1">
        <v>60.38</v>
      </c>
      <c r="AY294">
        <v>64</v>
      </c>
      <c r="AZ294" s="1">
        <v>322.89</v>
      </c>
      <c r="BA294">
        <v>1</v>
      </c>
      <c r="BB294" s="1">
        <v>3.59</v>
      </c>
      <c r="BC294">
        <v>1</v>
      </c>
      <c r="BD294" s="1">
        <v>6.36</v>
      </c>
      <c r="BE294">
        <v>14</v>
      </c>
      <c r="BF294" s="1">
        <v>84.19</v>
      </c>
      <c r="BG294">
        <v>2</v>
      </c>
      <c r="BH294" s="1">
        <v>9.61</v>
      </c>
      <c r="BK294">
        <v>7</v>
      </c>
      <c r="BL294" s="1">
        <v>38.880000000000003</v>
      </c>
      <c r="BM294">
        <v>1</v>
      </c>
      <c r="BN294" s="1">
        <v>15.51</v>
      </c>
      <c r="BO294" s="1">
        <v>14.63</v>
      </c>
      <c r="CA294">
        <v>4</v>
      </c>
      <c r="CB294" s="1">
        <v>45.72</v>
      </c>
      <c r="CG294">
        <v>293</v>
      </c>
      <c r="CH294">
        <v>293</v>
      </c>
    </row>
    <row r="295" spans="1:86" x14ac:dyDescent="0.35">
      <c r="A295">
        <v>355439</v>
      </c>
      <c r="B295" s="2">
        <v>44223</v>
      </c>
      <c r="C295" s="2">
        <v>44223</v>
      </c>
      <c r="D295">
        <v>144</v>
      </c>
      <c r="E295" s="1">
        <v>457.95</v>
      </c>
      <c r="F295" s="1">
        <v>1768.47</v>
      </c>
      <c r="G295" s="1">
        <v>742.83</v>
      </c>
      <c r="H295" s="1">
        <v>698.96</v>
      </c>
      <c r="I295" s="1">
        <v>113.39</v>
      </c>
      <c r="J295" s="1">
        <v>3516.67</v>
      </c>
      <c r="K295" s="1">
        <v>0</v>
      </c>
      <c r="L295">
        <v>663</v>
      </c>
      <c r="M295" s="1">
        <v>0</v>
      </c>
      <c r="N295" s="1">
        <v>3600.68</v>
      </c>
      <c r="O295">
        <v>0</v>
      </c>
      <c r="P295" s="1">
        <v>0</v>
      </c>
      <c r="Q295">
        <v>11</v>
      </c>
      <c r="R295" s="1">
        <v>4.29</v>
      </c>
      <c r="S295">
        <v>42</v>
      </c>
      <c r="T295" s="1">
        <v>58.4</v>
      </c>
      <c r="U295" s="1">
        <v>21.32</v>
      </c>
      <c r="V295">
        <v>1</v>
      </c>
      <c r="W295" s="1">
        <v>10</v>
      </c>
      <c r="X295">
        <v>10</v>
      </c>
      <c r="Y295" s="1">
        <v>0</v>
      </c>
      <c r="Z295">
        <v>92</v>
      </c>
      <c r="AA295" s="1">
        <v>273.56</v>
      </c>
      <c r="AB295">
        <v>14</v>
      </c>
      <c r="AC295" s="1">
        <v>29.46</v>
      </c>
      <c r="AD295">
        <v>6</v>
      </c>
      <c r="AE295" s="1">
        <v>16.010000000000002</v>
      </c>
      <c r="AF295" s="1">
        <v>0</v>
      </c>
      <c r="AG295" s="1">
        <v>0</v>
      </c>
      <c r="AH295" s="1">
        <v>0</v>
      </c>
      <c r="AI295" s="1">
        <v>0</v>
      </c>
      <c r="AJ295" s="1">
        <v>281.62</v>
      </c>
      <c r="AL295" s="1">
        <v>3516.67</v>
      </c>
      <c r="AM295" s="1">
        <v>0</v>
      </c>
      <c r="AN295" s="1">
        <v>573</v>
      </c>
      <c r="AO295" s="1">
        <v>0</v>
      </c>
      <c r="AP295" s="1">
        <v>-1.1599999999999999</v>
      </c>
      <c r="AQ295">
        <v>97</v>
      </c>
      <c r="AR295" s="1">
        <v>586.27</v>
      </c>
      <c r="AS295">
        <v>284</v>
      </c>
      <c r="AT295" s="1">
        <v>1863.81</v>
      </c>
      <c r="AU295">
        <v>30</v>
      </c>
      <c r="AV295" s="1">
        <v>222.46</v>
      </c>
      <c r="AW295">
        <v>10</v>
      </c>
      <c r="AX295" s="1">
        <v>71.56</v>
      </c>
      <c r="AY295">
        <v>60</v>
      </c>
      <c r="AZ295" s="1">
        <v>235.61</v>
      </c>
      <c r="BA295">
        <v>3</v>
      </c>
      <c r="BB295" s="1">
        <v>12.75</v>
      </c>
      <c r="BC295">
        <v>1</v>
      </c>
      <c r="BD295" s="1">
        <v>4.47</v>
      </c>
      <c r="BE295">
        <v>11</v>
      </c>
      <c r="BF295" s="1">
        <v>55.97</v>
      </c>
      <c r="BG295">
        <v>5</v>
      </c>
      <c r="BH295" s="1">
        <v>21.69</v>
      </c>
      <c r="BK295">
        <v>5</v>
      </c>
      <c r="BL295" s="1">
        <v>43.41</v>
      </c>
      <c r="BM295">
        <v>3</v>
      </c>
      <c r="BN295" s="1">
        <v>24</v>
      </c>
      <c r="BO295" s="1">
        <v>22.22</v>
      </c>
      <c r="BP295">
        <v>1</v>
      </c>
      <c r="BQ295" s="1">
        <v>10.25</v>
      </c>
      <c r="BR295" s="1">
        <v>9.49</v>
      </c>
      <c r="CA295">
        <v>6</v>
      </c>
      <c r="CB295" s="1">
        <v>81.88</v>
      </c>
      <c r="CG295">
        <v>294</v>
      </c>
      <c r="CH295">
        <v>294</v>
      </c>
    </row>
    <row r="296" spans="1:86" x14ac:dyDescent="0.35">
      <c r="A296">
        <v>359606</v>
      </c>
      <c r="B296" s="2">
        <v>44223</v>
      </c>
      <c r="C296" s="2">
        <v>44223</v>
      </c>
      <c r="D296">
        <v>36</v>
      </c>
      <c r="E296">
        <v>123.44</v>
      </c>
      <c r="F296">
        <v>487.06</v>
      </c>
      <c r="G296">
        <v>157.04</v>
      </c>
      <c r="H296">
        <v>278.33</v>
      </c>
      <c r="I296">
        <v>32.669999999999995</v>
      </c>
      <c r="J296">
        <v>960.38999999999987</v>
      </c>
      <c r="K296">
        <v>31.750000000000004</v>
      </c>
      <c r="L296">
        <v>182</v>
      </c>
      <c r="M296">
        <v>35.730000000000004</v>
      </c>
      <c r="N296">
        <v>1009.3599999999999</v>
      </c>
      <c r="O296">
        <v>0</v>
      </c>
      <c r="P296">
        <v>0</v>
      </c>
      <c r="R296">
        <v>52.949999999999996</v>
      </c>
      <c r="V296">
        <v>0</v>
      </c>
      <c r="W296">
        <v>0</v>
      </c>
      <c r="X296">
        <v>0</v>
      </c>
      <c r="Y296">
        <v>0</v>
      </c>
      <c r="Z296">
        <v>37</v>
      </c>
      <c r="AA296">
        <v>95.01</v>
      </c>
      <c r="AB296">
        <v>4</v>
      </c>
      <c r="AC296">
        <v>17.559999999999999</v>
      </c>
      <c r="AD296">
        <v>0</v>
      </c>
      <c r="AE296">
        <v>0</v>
      </c>
      <c r="AH296">
        <v>0</v>
      </c>
      <c r="AJ296">
        <v>88.28</v>
      </c>
      <c r="AN296">
        <v>164</v>
      </c>
      <c r="AO296">
        <v>0</v>
      </c>
      <c r="AP296">
        <v>-10.569999999999993</v>
      </c>
      <c r="AQ296">
        <v>25</v>
      </c>
      <c r="AR296">
        <v>148.06</v>
      </c>
      <c r="AS296">
        <v>79</v>
      </c>
      <c r="AT296">
        <v>415.37</v>
      </c>
      <c r="AU296">
        <v>23</v>
      </c>
      <c r="AV296">
        <v>155.53</v>
      </c>
      <c r="AW296">
        <v>3</v>
      </c>
      <c r="AX296">
        <v>20.63</v>
      </c>
      <c r="AY296">
        <v>21</v>
      </c>
      <c r="AZ296">
        <v>105.38</v>
      </c>
      <c r="BP296">
        <v>4</v>
      </c>
      <c r="BQ296">
        <v>39.9</v>
      </c>
      <c r="BR296">
        <v>36.64</v>
      </c>
      <c r="BS296">
        <v>992.14</v>
      </c>
      <c r="BV296">
        <v>0</v>
      </c>
      <c r="BW296">
        <v>0</v>
      </c>
      <c r="CA296">
        <v>3</v>
      </c>
      <c r="CB296">
        <v>20.98</v>
      </c>
      <c r="CG296">
        <v>295</v>
      </c>
      <c r="CH296">
        <v>295</v>
      </c>
    </row>
    <row r="297" spans="1:86" x14ac:dyDescent="0.35">
      <c r="A297">
        <v>358682</v>
      </c>
      <c r="B297" s="2">
        <v>44223</v>
      </c>
      <c r="C297" s="2">
        <v>44223</v>
      </c>
      <c r="D297">
        <v>82</v>
      </c>
      <c r="E297">
        <v>258.08</v>
      </c>
      <c r="F297">
        <v>1045.98</v>
      </c>
      <c r="G297">
        <v>246.19</v>
      </c>
      <c r="H297">
        <v>613.85</v>
      </c>
      <c r="I297">
        <v>68.570000000000007</v>
      </c>
      <c r="J297">
        <v>2064.31</v>
      </c>
      <c r="K297">
        <v>67.160000000000011</v>
      </c>
      <c r="L297">
        <v>361</v>
      </c>
      <c r="M297">
        <v>71.460000000000008</v>
      </c>
      <c r="N297">
        <v>2169.81</v>
      </c>
      <c r="O297">
        <v>7</v>
      </c>
      <c r="P297">
        <v>6.55</v>
      </c>
      <c r="R297">
        <v>109.8</v>
      </c>
      <c r="V297">
        <v>0</v>
      </c>
      <c r="W297">
        <v>0</v>
      </c>
      <c r="X297">
        <v>0</v>
      </c>
      <c r="Y297">
        <v>0</v>
      </c>
      <c r="Z297">
        <v>59</v>
      </c>
      <c r="AA297">
        <v>157.12</v>
      </c>
      <c r="AB297">
        <v>30</v>
      </c>
      <c r="AC297">
        <v>178.21</v>
      </c>
      <c r="AD297">
        <v>27</v>
      </c>
      <c r="AE297">
        <v>35.22</v>
      </c>
      <c r="AH297">
        <v>0</v>
      </c>
      <c r="AJ297">
        <v>189.35</v>
      </c>
      <c r="AN297">
        <v>399</v>
      </c>
      <c r="AO297">
        <v>0</v>
      </c>
      <c r="AP297">
        <v>-0.92000000000001592</v>
      </c>
      <c r="AQ297">
        <v>45</v>
      </c>
      <c r="AR297">
        <v>319.44</v>
      </c>
      <c r="AS297">
        <v>144</v>
      </c>
      <c r="AT297">
        <v>984.5</v>
      </c>
      <c r="AU297">
        <v>28</v>
      </c>
      <c r="AV297">
        <v>236.93</v>
      </c>
      <c r="AW297">
        <v>8</v>
      </c>
      <c r="AX297">
        <v>46.24</v>
      </c>
      <c r="AY297">
        <v>39</v>
      </c>
      <c r="AZ297">
        <v>194.53</v>
      </c>
      <c r="BM297">
        <v>1</v>
      </c>
      <c r="BN297">
        <v>11.85</v>
      </c>
      <c r="BP297">
        <v>7</v>
      </c>
      <c r="BQ297">
        <v>95.5</v>
      </c>
      <c r="BR297">
        <v>65.97</v>
      </c>
      <c r="BS297">
        <v>2128.88</v>
      </c>
      <c r="BV297">
        <v>2.8200000000001637</v>
      </c>
      <c r="BW297">
        <v>0</v>
      </c>
      <c r="BZ297">
        <v>1</v>
      </c>
      <c r="CA297">
        <v>2</v>
      </c>
      <c r="CB297">
        <v>29.09</v>
      </c>
      <c r="CG297">
        <v>296</v>
      </c>
      <c r="CH297">
        <v>296</v>
      </c>
    </row>
    <row r="298" spans="1:86" x14ac:dyDescent="0.35">
      <c r="A298">
        <v>357150</v>
      </c>
      <c r="B298" s="2">
        <v>44223</v>
      </c>
      <c r="C298" s="2">
        <v>44223</v>
      </c>
      <c r="D298">
        <v>119</v>
      </c>
      <c r="E298">
        <v>442.31</v>
      </c>
      <c r="F298">
        <v>1385.9699999999998</v>
      </c>
      <c r="G298">
        <v>444.35</v>
      </c>
      <c r="H298">
        <v>385.99</v>
      </c>
      <c r="I298">
        <v>67.33</v>
      </c>
      <c r="J298">
        <v>2410.71</v>
      </c>
      <c r="K298">
        <v>141.4</v>
      </c>
      <c r="L298">
        <v>439</v>
      </c>
      <c r="M298">
        <v>146.99</v>
      </c>
      <c r="N298">
        <v>2541.81</v>
      </c>
      <c r="O298">
        <v>0</v>
      </c>
      <c r="P298">
        <v>0</v>
      </c>
      <c r="R298">
        <v>136.69000000000003</v>
      </c>
      <c r="V298">
        <v>10</v>
      </c>
      <c r="W298">
        <v>50</v>
      </c>
      <c r="X298">
        <v>0</v>
      </c>
      <c r="Y298">
        <v>0</v>
      </c>
      <c r="Z298">
        <v>41</v>
      </c>
      <c r="AA298">
        <v>101.62</v>
      </c>
      <c r="AB298">
        <v>2</v>
      </c>
      <c r="AC298">
        <v>181.49</v>
      </c>
      <c r="AD298">
        <v>28</v>
      </c>
      <c r="AE298">
        <v>40.67</v>
      </c>
      <c r="AH298">
        <v>0</v>
      </c>
      <c r="AJ298">
        <v>204.42</v>
      </c>
      <c r="AN298">
        <v>0</v>
      </c>
      <c r="AO298">
        <v>0</v>
      </c>
      <c r="AP298">
        <v>-893.4</v>
      </c>
      <c r="AQ298">
        <v>72</v>
      </c>
      <c r="AR298">
        <v>494.49</v>
      </c>
      <c r="AS298">
        <v>143</v>
      </c>
      <c r="AT298">
        <v>948.79</v>
      </c>
      <c r="AU298">
        <v>9</v>
      </c>
      <c r="AV298">
        <v>129.24</v>
      </c>
      <c r="AW298">
        <v>7</v>
      </c>
      <c r="AX298">
        <v>58.4</v>
      </c>
      <c r="AY298">
        <v>56</v>
      </c>
      <c r="AZ298">
        <v>282.20999999999998</v>
      </c>
      <c r="BS298">
        <v>2552.11</v>
      </c>
      <c r="BV298">
        <v>0</v>
      </c>
      <c r="BW298">
        <v>0</v>
      </c>
      <c r="CG298">
        <v>297</v>
      </c>
      <c r="CH298">
        <v>297</v>
      </c>
    </row>
    <row r="299" spans="1:86" x14ac:dyDescent="0.35">
      <c r="A299">
        <v>352613</v>
      </c>
      <c r="B299" s="2">
        <v>44223</v>
      </c>
      <c r="C299" s="2">
        <v>44223</v>
      </c>
      <c r="D299">
        <v>93</v>
      </c>
      <c r="E299">
        <v>326.57</v>
      </c>
      <c r="F299">
        <v>1577.3500000000001</v>
      </c>
      <c r="G299">
        <v>474.99</v>
      </c>
      <c r="H299">
        <v>643.1</v>
      </c>
      <c r="I299">
        <v>126.87</v>
      </c>
      <c r="J299">
        <v>2935.2</v>
      </c>
      <c r="K299">
        <v>269.39</v>
      </c>
      <c r="L299">
        <v>579</v>
      </c>
      <c r="M299">
        <v>274.26</v>
      </c>
      <c r="N299">
        <v>3048.97</v>
      </c>
      <c r="O299">
        <v>0</v>
      </c>
      <c r="P299">
        <v>0</v>
      </c>
      <c r="R299">
        <v>118.64000000000001</v>
      </c>
      <c r="V299">
        <v>2</v>
      </c>
      <c r="W299">
        <v>25</v>
      </c>
      <c r="X299">
        <v>0</v>
      </c>
      <c r="Y299">
        <v>0</v>
      </c>
      <c r="Z299">
        <v>85</v>
      </c>
      <c r="AA299">
        <v>153.11000000000001</v>
      </c>
      <c r="AB299">
        <v>3</v>
      </c>
      <c r="AC299">
        <v>16.88</v>
      </c>
      <c r="AD299">
        <v>36</v>
      </c>
      <c r="AE299">
        <v>94.24</v>
      </c>
      <c r="AH299">
        <v>0</v>
      </c>
      <c r="AJ299">
        <v>256.68</v>
      </c>
      <c r="AN299">
        <v>904</v>
      </c>
      <c r="AO299">
        <v>0</v>
      </c>
      <c r="AP299">
        <v>0.94000000000005457</v>
      </c>
      <c r="AQ299">
        <v>80</v>
      </c>
      <c r="AR299">
        <v>542.08000000000004</v>
      </c>
      <c r="AS299">
        <v>242</v>
      </c>
      <c r="AT299">
        <v>1504.63</v>
      </c>
      <c r="AU299">
        <v>13</v>
      </c>
      <c r="AV299">
        <v>73.260000000000005</v>
      </c>
      <c r="AW299">
        <v>5</v>
      </c>
      <c r="AX299">
        <v>19.78</v>
      </c>
      <c r="AY299">
        <v>60</v>
      </c>
      <c r="AZ299">
        <v>284.82</v>
      </c>
      <c r="BP299">
        <v>5</v>
      </c>
      <c r="BQ299">
        <v>41.67</v>
      </c>
      <c r="BR299">
        <v>30.56</v>
      </c>
      <c r="BS299">
        <v>3204.59</v>
      </c>
      <c r="BV299">
        <v>2.8000000000001819</v>
      </c>
      <c r="BW299">
        <v>2.8</v>
      </c>
      <c r="BZ299">
        <v>1</v>
      </c>
      <c r="CA299">
        <v>6</v>
      </c>
      <c r="CB299">
        <v>52.35</v>
      </c>
      <c r="CE299">
        <v>2</v>
      </c>
      <c r="CF299">
        <v>64.77</v>
      </c>
      <c r="CG299">
        <v>298</v>
      </c>
      <c r="CH299">
        <v>298</v>
      </c>
    </row>
    <row r="300" spans="1:86" x14ac:dyDescent="0.35">
      <c r="A300">
        <v>352613</v>
      </c>
      <c r="B300" s="2">
        <v>44222</v>
      </c>
      <c r="C300" s="2">
        <v>44222</v>
      </c>
      <c r="D300">
        <v>73</v>
      </c>
      <c r="E300">
        <v>240.76999999999998</v>
      </c>
      <c r="F300">
        <v>1457.6799999999998</v>
      </c>
      <c r="G300">
        <v>527.09</v>
      </c>
      <c r="H300">
        <v>634.73</v>
      </c>
      <c r="I300">
        <v>129.16999999999999</v>
      </c>
      <c r="J300">
        <v>2863.9700000000003</v>
      </c>
      <c r="K300">
        <v>258.68</v>
      </c>
      <c r="L300">
        <v>572</v>
      </c>
      <c r="M300">
        <v>261.56</v>
      </c>
      <c r="N300">
        <v>2991.2200000000003</v>
      </c>
      <c r="O300">
        <v>14</v>
      </c>
      <c r="P300">
        <v>17.100000000000001</v>
      </c>
      <c r="R300">
        <v>130.13</v>
      </c>
      <c r="V300">
        <v>0</v>
      </c>
      <c r="W300">
        <v>0</v>
      </c>
      <c r="X300">
        <v>0</v>
      </c>
      <c r="Y300">
        <v>0</v>
      </c>
      <c r="Z300">
        <v>91</v>
      </c>
      <c r="AA300">
        <v>222.55</v>
      </c>
      <c r="AB300">
        <v>2</v>
      </c>
      <c r="AC300">
        <v>17.420000000000002</v>
      </c>
      <c r="AD300">
        <v>71</v>
      </c>
      <c r="AE300">
        <v>103.51</v>
      </c>
      <c r="AH300">
        <v>0</v>
      </c>
      <c r="AJ300">
        <v>250.11</v>
      </c>
      <c r="AN300">
        <v>906</v>
      </c>
      <c r="AO300">
        <v>0</v>
      </c>
      <c r="AP300">
        <v>-10.029999999999973</v>
      </c>
      <c r="AQ300">
        <v>69</v>
      </c>
      <c r="AR300">
        <v>477.07</v>
      </c>
      <c r="AS300">
        <v>236</v>
      </c>
      <c r="AT300">
        <v>1480.5</v>
      </c>
      <c r="AU300">
        <v>15</v>
      </c>
      <c r="AV300">
        <v>101.75</v>
      </c>
      <c r="AW300">
        <v>3</v>
      </c>
      <c r="AX300">
        <v>18.100000000000001</v>
      </c>
      <c r="AY300">
        <v>50</v>
      </c>
      <c r="AZ300">
        <v>222.08</v>
      </c>
      <c r="BP300">
        <v>5</v>
      </c>
      <c r="BQ300">
        <v>56.12</v>
      </c>
      <c r="BR300">
        <v>51.96</v>
      </c>
      <c r="BS300">
        <v>3122.65</v>
      </c>
      <c r="BV300">
        <v>16.039999999999964</v>
      </c>
      <c r="BW300">
        <v>16.04</v>
      </c>
      <c r="BZ300">
        <v>1</v>
      </c>
      <c r="CA300">
        <v>9</v>
      </c>
      <c r="CB300">
        <v>96.93</v>
      </c>
      <c r="CC300">
        <v>1</v>
      </c>
      <c r="CD300">
        <v>4.18</v>
      </c>
      <c r="CG300">
        <v>299</v>
      </c>
      <c r="CH300">
        <v>299</v>
      </c>
    </row>
    <row r="301" spans="1:86" x14ac:dyDescent="0.35">
      <c r="A301">
        <v>357150</v>
      </c>
      <c r="B301" s="2">
        <v>44222</v>
      </c>
      <c r="C301" s="2">
        <v>44222</v>
      </c>
      <c r="D301">
        <v>100</v>
      </c>
      <c r="E301">
        <v>378.29999999999995</v>
      </c>
      <c r="F301">
        <v>1198.6400000000001</v>
      </c>
      <c r="G301">
        <v>327.08999999999997</v>
      </c>
      <c r="H301">
        <v>315.14999999999998</v>
      </c>
      <c r="I301">
        <v>106.49</v>
      </c>
      <c r="J301">
        <v>1965.3600000000001</v>
      </c>
      <c r="K301">
        <v>163.92000000000002</v>
      </c>
      <c r="L301">
        <v>394</v>
      </c>
      <c r="M301">
        <v>164.76000000000002</v>
      </c>
      <c r="N301">
        <v>2073.34</v>
      </c>
      <c r="O301">
        <v>0</v>
      </c>
      <c r="P301">
        <v>0</v>
      </c>
      <c r="R301">
        <v>108.82000000000001</v>
      </c>
      <c r="V301">
        <v>0</v>
      </c>
      <c r="W301">
        <v>0</v>
      </c>
      <c r="X301">
        <v>0</v>
      </c>
      <c r="Y301">
        <v>0</v>
      </c>
      <c r="Z301">
        <v>30</v>
      </c>
      <c r="AA301">
        <v>105.22</v>
      </c>
      <c r="AB301">
        <v>1</v>
      </c>
      <c r="AC301">
        <v>61.69</v>
      </c>
      <c r="AD301">
        <v>32</v>
      </c>
      <c r="AE301">
        <v>43.17</v>
      </c>
      <c r="AH301">
        <v>0</v>
      </c>
      <c r="AJ301">
        <v>170.47</v>
      </c>
      <c r="AN301">
        <v>0</v>
      </c>
      <c r="AO301">
        <v>0</v>
      </c>
      <c r="AP301">
        <v>-678.6</v>
      </c>
      <c r="AQ301">
        <v>58</v>
      </c>
      <c r="AR301">
        <v>335.95</v>
      </c>
      <c r="AS301">
        <v>149</v>
      </c>
      <c r="AT301">
        <v>990.03</v>
      </c>
      <c r="AU301">
        <v>8</v>
      </c>
      <c r="AV301">
        <v>44.17</v>
      </c>
      <c r="AW301">
        <v>2</v>
      </c>
      <c r="AX301">
        <v>16.57</v>
      </c>
      <c r="AY301">
        <v>55</v>
      </c>
      <c r="AZ301">
        <v>234.43</v>
      </c>
      <c r="BS301">
        <v>2129.2800000000002</v>
      </c>
      <c r="BV301">
        <v>0</v>
      </c>
      <c r="BW301">
        <v>0</v>
      </c>
      <c r="CG301">
        <v>300</v>
      </c>
      <c r="CH301">
        <v>300</v>
      </c>
    </row>
    <row r="302" spans="1:86" x14ac:dyDescent="0.35">
      <c r="A302">
        <v>358682</v>
      </c>
      <c r="B302" s="2">
        <v>44222</v>
      </c>
      <c r="C302" s="2">
        <v>44222</v>
      </c>
      <c r="D302">
        <v>80</v>
      </c>
      <c r="E302">
        <v>266.60000000000002</v>
      </c>
      <c r="F302">
        <v>946.71999999999991</v>
      </c>
      <c r="G302">
        <v>204.46</v>
      </c>
      <c r="H302">
        <v>533.46</v>
      </c>
      <c r="I302">
        <v>95.1</v>
      </c>
      <c r="J302">
        <v>1792.93</v>
      </c>
      <c r="K302">
        <v>60.86</v>
      </c>
      <c r="L302">
        <v>331</v>
      </c>
      <c r="M302">
        <v>61.86</v>
      </c>
      <c r="N302">
        <v>1903.24</v>
      </c>
      <c r="O302">
        <v>1</v>
      </c>
      <c r="P302">
        <v>2.59</v>
      </c>
      <c r="R302">
        <v>111.31</v>
      </c>
      <c r="V302">
        <v>0</v>
      </c>
      <c r="W302">
        <v>0</v>
      </c>
      <c r="X302">
        <v>0</v>
      </c>
      <c r="Y302">
        <v>0</v>
      </c>
      <c r="Z302">
        <v>35</v>
      </c>
      <c r="AA302">
        <v>76.22</v>
      </c>
      <c r="AB302">
        <v>4</v>
      </c>
      <c r="AC302">
        <v>9.32</v>
      </c>
      <c r="AD302">
        <v>1</v>
      </c>
      <c r="AE302">
        <v>1</v>
      </c>
      <c r="AH302">
        <v>0</v>
      </c>
      <c r="AJ302">
        <v>164.97</v>
      </c>
      <c r="AN302">
        <v>822.75</v>
      </c>
      <c r="AO302">
        <v>0</v>
      </c>
      <c r="AP302">
        <v>407.24</v>
      </c>
      <c r="AQ302">
        <v>39</v>
      </c>
      <c r="AR302">
        <v>266.87</v>
      </c>
      <c r="AS302">
        <v>151</v>
      </c>
      <c r="AT302">
        <v>949.15</v>
      </c>
      <c r="AU302">
        <v>14</v>
      </c>
      <c r="AV302">
        <v>89.87</v>
      </c>
      <c r="AW302">
        <v>9</v>
      </c>
      <c r="AX302">
        <v>37.17</v>
      </c>
      <c r="AY302">
        <v>44</v>
      </c>
      <c r="AZ302">
        <v>188.37</v>
      </c>
      <c r="BP302">
        <v>5</v>
      </c>
      <c r="BQ302">
        <v>54.58</v>
      </c>
      <c r="BR302">
        <v>50.12</v>
      </c>
      <c r="BS302">
        <v>1853.79</v>
      </c>
      <c r="BV302">
        <v>0</v>
      </c>
      <c r="BW302">
        <v>0</v>
      </c>
      <c r="BZ302">
        <v>1</v>
      </c>
      <c r="CA302">
        <v>2</v>
      </c>
      <c r="CB302">
        <v>17.239999999999998</v>
      </c>
      <c r="CG302">
        <v>301</v>
      </c>
      <c r="CH302">
        <v>301</v>
      </c>
    </row>
    <row r="303" spans="1:86" x14ac:dyDescent="0.35">
      <c r="A303">
        <v>359606</v>
      </c>
      <c r="B303" s="2">
        <v>44222</v>
      </c>
      <c r="C303" s="2">
        <v>44222</v>
      </c>
      <c r="D303">
        <v>19</v>
      </c>
      <c r="E303">
        <v>69.009999999999991</v>
      </c>
      <c r="F303">
        <v>426.67</v>
      </c>
      <c r="G303">
        <v>160.19999999999999</v>
      </c>
      <c r="H303">
        <v>304.77</v>
      </c>
      <c r="I303">
        <v>27.18</v>
      </c>
      <c r="J303">
        <v>885.6400000000001</v>
      </c>
      <c r="K303">
        <v>42.18</v>
      </c>
      <c r="L303">
        <v>196</v>
      </c>
      <c r="M303">
        <v>44.17</v>
      </c>
      <c r="N303">
        <v>958.10000000000014</v>
      </c>
      <c r="O303">
        <v>5</v>
      </c>
      <c r="P303">
        <v>4.9800000000000004</v>
      </c>
      <c r="R303">
        <v>74.45</v>
      </c>
      <c r="V303">
        <v>0</v>
      </c>
      <c r="W303">
        <v>0</v>
      </c>
      <c r="X303">
        <v>0</v>
      </c>
      <c r="Y303">
        <v>0</v>
      </c>
      <c r="Z303">
        <v>23</v>
      </c>
      <c r="AA303">
        <v>63.33</v>
      </c>
      <c r="AB303">
        <v>2</v>
      </c>
      <c r="AC303">
        <v>8.14</v>
      </c>
      <c r="AD303">
        <v>6</v>
      </c>
      <c r="AE303">
        <v>11.52</v>
      </c>
      <c r="AH303">
        <v>0</v>
      </c>
      <c r="AJ303">
        <v>82.5</v>
      </c>
      <c r="AN303">
        <v>355</v>
      </c>
      <c r="AO303">
        <v>0</v>
      </c>
      <c r="AP303">
        <v>140.49</v>
      </c>
      <c r="AQ303">
        <v>29</v>
      </c>
      <c r="AR303">
        <v>160.71</v>
      </c>
      <c r="AS303">
        <v>75</v>
      </c>
      <c r="AT303">
        <v>399.52</v>
      </c>
      <c r="AU303">
        <v>17</v>
      </c>
      <c r="AV303">
        <v>90.29</v>
      </c>
      <c r="AW303">
        <v>7</v>
      </c>
      <c r="AX303">
        <v>49.44</v>
      </c>
      <c r="AY303">
        <v>20</v>
      </c>
      <c r="AZ303">
        <v>70.06</v>
      </c>
      <c r="BP303">
        <v>1</v>
      </c>
      <c r="BQ303">
        <v>27.14</v>
      </c>
      <c r="BR303">
        <v>24.92</v>
      </c>
      <c r="BS303">
        <v>939.34</v>
      </c>
      <c r="BV303">
        <v>0</v>
      </c>
      <c r="BW303">
        <v>15.14</v>
      </c>
      <c r="BZ303">
        <v>1</v>
      </c>
      <c r="CA303">
        <v>2</v>
      </c>
      <c r="CB303">
        <v>13.79</v>
      </c>
      <c r="CG303">
        <v>302</v>
      </c>
      <c r="CH303">
        <v>302</v>
      </c>
    </row>
    <row r="304" spans="1:86" x14ac:dyDescent="0.35">
      <c r="A304">
        <v>359606</v>
      </c>
      <c r="B304" s="2">
        <v>44221</v>
      </c>
      <c r="C304" s="2">
        <v>44221</v>
      </c>
      <c r="D304">
        <v>28</v>
      </c>
      <c r="E304">
        <v>89.22</v>
      </c>
      <c r="F304">
        <v>428.39</v>
      </c>
      <c r="G304">
        <v>165.03</v>
      </c>
      <c r="H304">
        <v>327.37</v>
      </c>
      <c r="I304">
        <v>43.31</v>
      </c>
      <c r="J304">
        <v>945.08000000000015</v>
      </c>
      <c r="K304">
        <v>42.1</v>
      </c>
      <c r="L304">
        <v>179</v>
      </c>
      <c r="M304">
        <v>45.39</v>
      </c>
      <c r="N304">
        <v>1023.3600000000001</v>
      </c>
      <c r="O304">
        <v>0</v>
      </c>
      <c r="P304">
        <v>0</v>
      </c>
      <c r="R304">
        <v>81.570000000000007</v>
      </c>
      <c r="V304">
        <v>0</v>
      </c>
      <c r="W304">
        <v>0</v>
      </c>
      <c r="X304">
        <v>0</v>
      </c>
      <c r="Y304">
        <v>0</v>
      </c>
      <c r="Z304">
        <v>20</v>
      </c>
      <c r="AA304">
        <v>32.68</v>
      </c>
      <c r="AB304">
        <v>1</v>
      </c>
      <c r="AC304">
        <v>11.66</v>
      </c>
      <c r="AD304">
        <v>0</v>
      </c>
      <c r="AE304">
        <v>0</v>
      </c>
      <c r="AH304">
        <v>0</v>
      </c>
      <c r="AJ304">
        <v>87.82</v>
      </c>
      <c r="AN304">
        <v>234</v>
      </c>
      <c r="AO304">
        <v>0</v>
      </c>
      <c r="AP304">
        <v>102.07</v>
      </c>
      <c r="AQ304">
        <v>23</v>
      </c>
      <c r="AR304">
        <v>120.04</v>
      </c>
      <c r="AS304">
        <v>80</v>
      </c>
      <c r="AT304">
        <v>532.33000000000004</v>
      </c>
      <c r="AU304">
        <v>17</v>
      </c>
      <c r="AV304">
        <v>122.18</v>
      </c>
      <c r="AW304">
        <v>10</v>
      </c>
      <c r="AX304">
        <v>42.66</v>
      </c>
      <c r="AY304">
        <v>18</v>
      </c>
      <c r="AZ304">
        <v>82.21</v>
      </c>
      <c r="BS304">
        <v>984.99</v>
      </c>
      <c r="BV304">
        <v>15.1400000000001</v>
      </c>
      <c r="BW304">
        <v>15.14</v>
      </c>
      <c r="BZ304">
        <v>1</v>
      </c>
      <c r="CA304">
        <v>4</v>
      </c>
      <c r="CB304">
        <v>43.65</v>
      </c>
      <c r="CG304">
        <v>303</v>
      </c>
      <c r="CH304">
        <v>303</v>
      </c>
    </row>
    <row r="305" spans="1:86" x14ac:dyDescent="0.35">
      <c r="A305">
        <v>358682</v>
      </c>
      <c r="B305" s="2">
        <v>44221</v>
      </c>
      <c r="C305" s="2">
        <v>44221</v>
      </c>
      <c r="D305">
        <v>68</v>
      </c>
      <c r="E305">
        <v>225.12</v>
      </c>
      <c r="F305">
        <v>957.1400000000001</v>
      </c>
      <c r="G305">
        <v>161.97999999999999</v>
      </c>
      <c r="H305">
        <v>702.51</v>
      </c>
      <c r="I305">
        <v>59.75</v>
      </c>
      <c r="J305">
        <v>1904.0500000000002</v>
      </c>
      <c r="K305">
        <v>70.48</v>
      </c>
      <c r="L305">
        <v>337</v>
      </c>
      <c r="M305">
        <v>71.48</v>
      </c>
      <c r="N305">
        <v>2020.1100000000001</v>
      </c>
      <c r="O305">
        <v>0</v>
      </c>
      <c r="P305">
        <v>0</v>
      </c>
      <c r="R305">
        <v>117.06</v>
      </c>
      <c r="V305">
        <v>0</v>
      </c>
      <c r="W305">
        <v>0</v>
      </c>
      <c r="X305">
        <v>0</v>
      </c>
      <c r="Y305">
        <v>0</v>
      </c>
      <c r="Z305">
        <v>45</v>
      </c>
      <c r="AA305">
        <v>117.74</v>
      </c>
      <c r="AB305">
        <v>5</v>
      </c>
      <c r="AC305">
        <v>23.77</v>
      </c>
      <c r="AD305">
        <v>14</v>
      </c>
      <c r="AE305">
        <v>24.99</v>
      </c>
      <c r="AH305">
        <v>0</v>
      </c>
      <c r="AJ305">
        <v>175.05</v>
      </c>
      <c r="AN305">
        <v>431.79</v>
      </c>
      <c r="AO305">
        <v>0</v>
      </c>
      <c r="AP305">
        <v>6.2700000000000387</v>
      </c>
      <c r="AQ305">
        <v>42</v>
      </c>
      <c r="AR305">
        <v>292.85000000000002</v>
      </c>
      <c r="AS305">
        <v>129</v>
      </c>
      <c r="AT305">
        <v>929.24</v>
      </c>
      <c r="AU305">
        <v>20</v>
      </c>
      <c r="AV305">
        <v>123.81</v>
      </c>
      <c r="AW305">
        <v>12</v>
      </c>
      <c r="AX305">
        <v>97.35</v>
      </c>
      <c r="AY305">
        <v>43</v>
      </c>
      <c r="AZ305">
        <v>202.61</v>
      </c>
      <c r="BP305">
        <v>8</v>
      </c>
      <c r="BQ305">
        <v>78.52</v>
      </c>
      <c r="BR305">
        <v>72.11</v>
      </c>
      <c r="BS305">
        <v>1979.61</v>
      </c>
      <c r="BV305">
        <v>-11.0600000000004</v>
      </c>
      <c r="BW305">
        <v>-5.53</v>
      </c>
      <c r="BZ305">
        <v>1</v>
      </c>
      <c r="CA305">
        <v>1</v>
      </c>
      <c r="CB305">
        <v>5.21</v>
      </c>
      <c r="CG305">
        <v>304</v>
      </c>
      <c r="CH305">
        <v>304</v>
      </c>
    </row>
    <row r="306" spans="1:86" x14ac:dyDescent="0.35">
      <c r="A306">
        <v>357150</v>
      </c>
      <c r="B306" s="2">
        <v>44221</v>
      </c>
      <c r="C306" s="2">
        <v>44221</v>
      </c>
      <c r="D306">
        <v>130</v>
      </c>
      <c r="E306">
        <v>476.5</v>
      </c>
      <c r="F306">
        <v>1423.6599999999999</v>
      </c>
      <c r="G306">
        <v>279.27999999999997</v>
      </c>
      <c r="H306">
        <v>361.88</v>
      </c>
      <c r="I306">
        <v>86.039999999999992</v>
      </c>
      <c r="J306">
        <v>2245.7800000000002</v>
      </c>
      <c r="K306">
        <v>146.85000000000002</v>
      </c>
      <c r="L306">
        <v>458</v>
      </c>
      <c r="M306">
        <v>146.85000000000002</v>
      </c>
      <c r="N306">
        <v>2335.19</v>
      </c>
      <c r="O306">
        <v>0</v>
      </c>
      <c r="P306">
        <v>0</v>
      </c>
      <c r="R306">
        <v>89.410000000000011</v>
      </c>
      <c r="V306">
        <v>0</v>
      </c>
      <c r="W306">
        <v>0</v>
      </c>
      <c r="X306">
        <v>0</v>
      </c>
      <c r="Y306">
        <v>0</v>
      </c>
      <c r="Z306">
        <v>29</v>
      </c>
      <c r="AA306">
        <v>74</v>
      </c>
      <c r="AB306">
        <v>4</v>
      </c>
      <c r="AC306">
        <v>21.7</v>
      </c>
      <c r="AD306">
        <v>7</v>
      </c>
      <c r="AE306">
        <v>7.47</v>
      </c>
      <c r="AH306">
        <v>0</v>
      </c>
      <c r="AJ306">
        <v>191.62</v>
      </c>
      <c r="AN306">
        <v>0</v>
      </c>
      <c r="AO306">
        <v>0</v>
      </c>
      <c r="AP306">
        <v>-841.07</v>
      </c>
      <c r="AQ306">
        <v>68</v>
      </c>
      <c r="AR306">
        <v>463.91</v>
      </c>
      <c r="AS306">
        <v>153</v>
      </c>
      <c r="AT306">
        <v>923.92</v>
      </c>
      <c r="AU306">
        <v>11</v>
      </c>
      <c r="AV306">
        <v>76.17</v>
      </c>
      <c r="AW306">
        <v>3</v>
      </c>
      <c r="AX306">
        <v>13.24</v>
      </c>
      <c r="AY306">
        <v>61</v>
      </c>
      <c r="AZ306">
        <v>265.94</v>
      </c>
      <c r="BS306">
        <v>2392.63</v>
      </c>
      <c r="BV306">
        <v>0</v>
      </c>
      <c r="BW306">
        <v>0</v>
      </c>
      <c r="CG306">
        <v>305</v>
      </c>
      <c r="CH306">
        <v>305</v>
      </c>
    </row>
    <row r="307" spans="1:86" x14ac:dyDescent="0.35">
      <c r="A307">
        <v>352613</v>
      </c>
      <c r="B307" s="2">
        <v>44221</v>
      </c>
      <c r="C307" s="2">
        <v>44221</v>
      </c>
      <c r="D307">
        <v>91</v>
      </c>
      <c r="E307">
        <v>295.59000000000003</v>
      </c>
      <c r="F307">
        <v>1420.84</v>
      </c>
      <c r="G307">
        <v>392.33</v>
      </c>
      <c r="H307">
        <v>630.14</v>
      </c>
      <c r="I307">
        <v>149.06</v>
      </c>
      <c r="J307">
        <v>2708.98</v>
      </c>
      <c r="K307">
        <v>276.25</v>
      </c>
      <c r="L307">
        <v>546</v>
      </c>
      <c r="M307">
        <v>277.14</v>
      </c>
      <c r="N307">
        <v>2839.09</v>
      </c>
      <c r="O307">
        <v>0</v>
      </c>
      <c r="P307">
        <v>0</v>
      </c>
      <c r="R307">
        <v>131</v>
      </c>
      <c r="V307">
        <v>2</v>
      </c>
      <c r="W307">
        <v>30</v>
      </c>
      <c r="X307">
        <v>0</v>
      </c>
      <c r="Y307">
        <v>0</v>
      </c>
      <c r="Z307">
        <v>55</v>
      </c>
      <c r="AA307">
        <v>106.13</v>
      </c>
      <c r="AB307">
        <v>4</v>
      </c>
      <c r="AC307">
        <v>7.74</v>
      </c>
      <c r="AD307">
        <v>51</v>
      </c>
      <c r="AE307">
        <v>75.010000000000005</v>
      </c>
      <c r="AH307">
        <v>0</v>
      </c>
      <c r="AJ307">
        <v>239.09</v>
      </c>
      <c r="AN307">
        <v>796</v>
      </c>
      <c r="AO307">
        <v>4.3</v>
      </c>
      <c r="AP307">
        <v>-1.2200000000000273</v>
      </c>
      <c r="AQ307">
        <v>69</v>
      </c>
      <c r="AR307">
        <v>448.54</v>
      </c>
      <c r="AS307">
        <v>222</v>
      </c>
      <c r="AT307">
        <v>1520.1</v>
      </c>
      <c r="AU307">
        <v>13</v>
      </c>
      <c r="AV307">
        <v>63.8</v>
      </c>
      <c r="AW307">
        <v>3</v>
      </c>
      <c r="AX307">
        <v>28.21</v>
      </c>
      <c r="AY307">
        <v>43</v>
      </c>
      <c r="AZ307">
        <v>195.02</v>
      </c>
      <c r="BP307">
        <v>6</v>
      </c>
      <c r="BQ307">
        <v>59.78</v>
      </c>
      <c r="BR307">
        <v>50.03</v>
      </c>
      <c r="BS307">
        <v>2985.23</v>
      </c>
      <c r="BV307">
        <v>0</v>
      </c>
      <c r="BW307">
        <v>0</v>
      </c>
      <c r="BZ307">
        <v>1</v>
      </c>
      <c r="CA307">
        <v>8</v>
      </c>
      <c r="CB307">
        <v>98.49</v>
      </c>
      <c r="CE307">
        <v>1</v>
      </c>
      <c r="CF307">
        <v>38.86</v>
      </c>
      <c r="CG307">
        <v>306</v>
      </c>
      <c r="CH307">
        <v>306</v>
      </c>
    </row>
    <row r="308" spans="1:86" x14ac:dyDescent="0.35">
      <c r="A308">
        <v>352613</v>
      </c>
      <c r="B308" s="2">
        <v>44220</v>
      </c>
      <c r="C308" s="2">
        <v>44220</v>
      </c>
      <c r="D308">
        <v>125</v>
      </c>
      <c r="E308">
        <v>415.85</v>
      </c>
      <c r="F308">
        <v>1697.8899999999996</v>
      </c>
      <c r="G308">
        <v>626.97</v>
      </c>
      <c r="H308">
        <v>828.71</v>
      </c>
      <c r="I308">
        <v>147.99</v>
      </c>
      <c r="J308">
        <v>3389.93</v>
      </c>
      <c r="K308">
        <v>411.11</v>
      </c>
      <c r="L308">
        <v>581</v>
      </c>
      <c r="M308">
        <v>416.87</v>
      </c>
      <c r="N308">
        <v>3535.5</v>
      </c>
      <c r="O308">
        <v>2</v>
      </c>
      <c r="P308">
        <v>10.38</v>
      </c>
      <c r="R308">
        <v>151.32999999999998</v>
      </c>
      <c r="V308">
        <v>0</v>
      </c>
      <c r="W308">
        <v>0</v>
      </c>
      <c r="X308">
        <v>0</v>
      </c>
      <c r="Y308">
        <v>0</v>
      </c>
      <c r="Z308">
        <v>118</v>
      </c>
      <c r="AA308">
        <v>199.39</v>
      </c>
      <c r="AB308">
        <v>4</v>
      </c>
      <c r="AC308">
        <v>25.7</v>
      </c>
      <c r="AD308">
        <v>64</v>
      </c>
      <c r="AE308">
        <v>75.62</v>
      </c>
      <c r="AH308">
        <v>0</v>
      </c>
      <c r="AJ308">
        <v>304.37</v>
      </c>
      <c r="AN308">
        <v>1776</v>
      </c>
      <c r="AO308">
        <v>0</v>
      </c>
      <c r="AP308">
        <v>733.46</v>
      </c>
      <c r="AQ308">
        <v>58</v>
      </c>
      <c r="AR308">
        <v>489.55</v>
      </c>
      <c r="AS308">
        <v>249</v>
      </c>
      <c r="AT308">
        <v>1894.07</v>
      </c>
      <c r="AU308">
        <v>16</v>
      </c>
      <c r="AV308">
        <v>138.04</v>
      </c>
      <c r="AW308">
        <v>8</v>
      </c>
      <c r="AX308">
        <v>53.38</v>
      </c>
      <c r="AY308">
        <v>49</v>
      </c>
      <c r="AZ308">
        <v>274.51</v>
      </c>
      <c r="BM308">
        <v>1</v>
      </c>
      <c r="BN308">
        <v>14.52</v>
      </c>
      <c r="BP308">
        <v>7</v>
      </c>
      <c r="BQ308">
        <v>103.41</v>
      </c>
      <c r="BR308">
        <v>52.19</v>
      </c>
      <c r="BS308">
        <v>3803.43</v>
      </c>
      <c r="BV308">
        <v>-2.5799999999999272</v>
      </c>
      <c r="BW308">
        <v>0</v>
      </c>
      <c r="BZ308">
        <v>1</v>
      </c>
      <c r="CA308">
        <v>6</v>
      </c>
      <c r="CB308">
        <v>97.97</v>
      </c>
      <c r="CG308">
        <v>307</v>
      </c>
      <c r="CH308">
        <v>307</v>
      </c>
    </row>
    <row r="309" spans="1:86" x14ac:dyDescent="0.35">
      <c r="A309">
        <v>357150</v>
      </c>
      <c r="B309" s="2">
        <v>44220</v>
      </c>
      <c r="C309" s="2">
        <v>44220</v>
      </c>
      <c r="D309">
        <v>149</v>
      </c>
      <c r="E309">
        <v>558.71</v>
      </c>
      <c r="F309">
        <v>1710.67</v>
      </c>
      <c r="G309">
        <v>516.35</v>
      </c>
      <c r="H309">
        <v>510.52</v>
      </c>
      <c r="I309">
        <v>102.89999999999999</v>
      </c>
      <c r="J309">
        <v>3072.36</v>
      </c>
      <c r="K309">
        <v>297.44</v>
      </c>
      <c r="L309">
        <v>462</v>
      </c>
      <c r="M309">
        <v>297.44</v>
      </c>
      <c r="N309">
        <v>3200.69</v>
      </c>
      <c r="O309">
        <v>0</v>
      </c>
      <c r="P309">
        <v>0</v>
      </c>
      <c r="R309">
        <v>128.32999999999998</v>
      </c>
      <c r="V309">
        <v>0</v>
      </c>
      <c r="W309">
        <v>0</v>
      </c>
      <c r="X309">
        <v>0</v>
      </c>
      <c r="Y309">
        <v>0</v>
      </c>
      <c r="Z309">
        <v>54</v>
      </c>
      <c r="AA309">
        <v>193.95</v>
      </c>
      <c r="AB309">
        <v>3</v>
      </c>
      <c r="AC309">
        <v>33.17</v>
      </c>
      <c r="AD309">
        <v>18</v>
      </c>
      <c r="AE309">
        <v>22.43</v>
      </c>
      <c r="AH309">
        <v>0</v>
      </c>
      <c r="AJ309">
        <v>269.62</v>
      </c>
      <c r="AN309">
        <v>843</v>
      </c>
      <c r="AO309">
        <v>0</v>
      </c>
      <c r="AP309">
        <v>-107.22000000000003</v>
      </c>
      <c r="AQ309">
        <v>91</v>
      </c>
      <c r="AR309">
        <v>883.99</v>
      </c>
      <c r="AS309">
        <v>152</v>
      </c>
      <c r="AT309">
        <v>1238.56</v>
      </c>
      <c r="AU309">
        <v>13</v>
      </c>
      <c r="AV309">
        <v>115.71</v>
      </c>
      <c r="AW309">
        <v>6</v>
      </c>
      <c r="AX309">
        <v>60.79</v>
      </c>
      <c r="AY309">
        <v>61</v>
      </c>
      <c r="AZ309">
        <v>390.15</v>
      </c>
      <c r="BS309">
        <v>3369.8</v>
      </c>
      <c r="BV309">
        <v>0</v>
      </c>
      <c r="BW309">
        <v>0</v>
      </c>
      <c r="CG309">
        <v>308</v>
      </c>
      <c r="CH309">
        <v>308</v>
      </c>
    </row>
    <row r="310" spans="1:86" x14ac:dyDescent="0.35">
      <c r="A310">
        <v>358682</v>
      </c>
      <c r="B310" s="2">
        <v>44220</v>
      </c>
      <c r="C310" s="2">
        <v>44220</v>
      </c>
      <c r="D310">
        <v>42</v>
      </c>
      <c r="E310">
        <v>150.18</v>
      </c>
      <c r="F310">
        <v>681.81999999999994</v>
      </c>
      <c r="G310">
        <v>156.18</v>
      </c>
      <c r="H310">
        <v>530.49</v>
      </c>
      <c r="I310">
        <v>64.83</v>
      </c>
      <c r="J310">
        <v>1487.4799999999998</v>
      </c>
      <c r="K310">
        <v>57.83</v>
      </c>
      <c r="L310">
        <v>226</v>
      </c>
      <c r="M310">
        <v>61.57</v>
      </c>
      <c r="N310">
        <v>1563.9499999999998</v>
      </c>
      <c r="O310">
        <v>0</v>
      </c>
      <c r="P310">
        <v>0</v>
      </c>
      <c r="R310">
        <v>80.209999999999994</v>
      </c>
      <c r="V310">
        <v>0</v>
      </c>
      <c r="W310">
        <v>0</v>
      </c>
      <c r="X310">
        <v>0</v>
      </c>
      <c r="Y310">
        <v>0</v>
      </c>
      <c r="Z310">
        <v>39</v>
      </c>
      <c r="AA310">
        <v>104.64</v>
      </c>
      <c r="AB310">
        <v>7</v>
      </c>
      <c r="AC310">
        <v>69.41</v>
      </c>
      <c r="AD310">
        <v>5</v>
      </c>
      <c r="AE310">
        <v>2.99</v>
      </c>
      <c r="AH310">
        <v>0</v>
      </c>
      <c r="AJ310">
        <v>137.57</v>
      </c>
      <c r="AN310">
        <v>633.71</v>
      </c>
      <c r="AO310">
        <v>0</v>
      </c>
      <c r="AP310">
        <v>433.78000000000003</v>
      </c>
      <c r="AQ310">
        <v>26</v>
      </c>
      <c r="AR310">
        <v>157.76</v>
      </c>
      <c r="AS310">
        <v>105</v>
      </c>
      <c r="AT310">
        <v>813.79</v>
      </c>
      <c r="AU310">
        <v>22</v>
      </c>
      <c r="AV310">
        <v>161.27000000000001</v>
      </c>
      <c r="AW310">
        <v>4</v>
      </c>
      <c r="AX310">
        <v>24.77</v>
      </c>
      <c r="AY310">
        <v>32</v>
      </c>
      <c r="AZ310">
        <v>187.27</v>
      </c>
      <c r="BP310">
        <v>6</v>
      </c>
      <c r="BQ310">
        <v>91.98</v>
      </c>
      <c r="BR310">
        <v>84.47</v>
      </c>
      <c r="BS310">
        <v>1540.23</v>
      </c>
      <c r="BV310">
        <v>5.5300000000002001</v>
      </c>
      <c r="BW310">
        <v>0</v>
      </c>
      <c r="BZ310">
        <v>1</v>
      </c>
      <c r="CA310">
        <v>3</v>
      </c>
      <c r="CB310">
        <v>40.58</v>
      </c>
      <c r="CG310">
        <v>309</v>
      </c>
      <c r="CH310">
        <v>309</v>
      </c>
    </row>
    <row r="311" spans="1:86" x14ac:dyDescent="0.35">
      <c r="A311">
        <v>359606</v>
      </c>
      <c r="B311" s="2">
        <v>44220</v>
      </c>
      <c r="C311" s="2">
        <v>44220</v>
      </c>
      <c r="D311">
        <v>39</v>
      </c>
      <c r="E311">
        <v>122.31</v>
      </c>
      <c r="F311">
        <v>563.12000000000012</v>
      </c>
      <c r="G311">
        <v>166.89</v>
      </c>
      <c r="H311">
        <v>353.91</v>
      </c>
      <c r="I311">
        <v>53.97</v>
      </c>
      <c r="J311">
        <v>1187.3600000000001</v>
      </c>
      <c r="K311">
        <v>87.99</v>
      </c>
      <c r="L311">
        <v>210</v>
      </c>
      <c r="M311">
        <v>87.99</v>
      </c>
      <c r="N311">
        <v>1253.9100000000001</v>
      </c>
      <c r="O311">
        <v>0</v>
      </c>
      <c r="P311">
        <v>0</v>
      </c>
      <c r="R311">
        <v>66.55</v>
      </c>
      <c r="V311">
        <v>0</v>
      </c>
      <c r="W311">
        <v>0</v>
      </c>
      <c r="X311">
        <v>0</v>
      </c>
      <c r="Y311">
        <v>0</v>
      </c>
      <c r="Z311">
        <v>34</v>
      </c>
      <c r="AA311">
        <v>115.44</v>
      </c>
      <c r="AB311">
        <v>4</v>
      </c>
      <c r="AC311">
        <v>17.68</v>
      </c>
      <c r="AD311">
        <v>0</v>
      </c>
      <c r="AE311">
        <v>0</v>
      </c>
      <c r="AH311">
        <v>0</v>
      </c>
      <c r="AJ311">
        <v>113.49</v>
      </c>
      <c r="AN311">
        <v>234</v>
      </c>
      <c r="AO311">
        <v>0</v>
      </c>
      <c r="AP311">
        <v>130.13999999999999</v>
      </c>
      <c r="AQ311">
        <v>30</v>
      </c>
      <c r="AR311">
        <v>220.79</v>
      </c>
      <c r="AS311">
        <v>93</v>
      </c>
      <c r="AT311">
        <v>564.91999999999996</v>
      </c>
      <c r="AU311">
        <v>20</v>
      </c>
      <c r="AV311">
        <v>156.28</v>
      </c>
      <c r="AW311">
        <v>5</v>
      </c>
      <c r="AX311">
        <v>39.53</v>
      </c>
      <c r="AY311">
        <v>31</v>
      </c>
      <c r="AZ311">
        <v>157.41999999999999</v>
      </c>
      <c r="BP311">
        <v>6</v>
      </c>
      <c r="BQ311">
        <v>101.23</v>
      </c>
      <c r="BR311">
        <v>78.91</v>
      </c>
      <c r="BS311">
        <v>1270.19</v>
      </c>
      <c r="BV311">
        <v>15.139999999999873</v>
      </c>
      <c r="BW311">
        <v>9.52</v>
      </c>
      <c r="BZ311">
        <v>1</v>
      </c>
      <c r="CE311">
        <v>1</v>
      </c>
      <c r="CF311">
        <v>39.19</v>
      </c>
      <c r="CG311">
        <v>310</v>
      </c>
      <c r="CH311">
        <v>310</v>
      </c>
    </row>
    <row r="312" spans="1:86" x14ac:dyDescent="0.35">
      <c r="A312">
        <v>350432</v>
      </c>
      <c r="B312" s="2">
        <v>44224</v>
      </c>
      <c r="C312" s="2">
        <v>44224</v>
      </c>
      <c r="D312">
        <v>179</v>
      </c>
      <c r="E312" s="1">
        <v>539.04</v>
      </c>
      <c r="F312" s="1">
        <v>1913.61</v>
      </c>
      <c r="G312" s="1">
        <v>482.82</v>
      </c>
      <c r="H312" s="1">
        <v>985.85</v>
      </c>
      <c r="I312" s="1">
        <v>143.16</v>
      </c>
      <c r="J312" s="1">
        <v>3823.51</v>
      </c>
      <c r="K312" s="1">
        <v>495.68</v>
      </c>
      <c r="L312">
        <v>750</v>
      </c>
      <c r="M312" s="1">
        <v>507.96</v>
      </c>
      <c r="N312" s="1">
        <v>4026.14</v>
      </c>
      <c r="O312">
        <v>1</v>
      </c>
      <c r="P312" s="1">
        <v>10.56</v>
      </c>
      <c r="Q312">
        <v>16</v>
      </c>
      <c r="R312" s="1">
        <v>11.89</v>
      </c>
      <c r="S312">
        <v>59</v>
      </c>
      <c r="T312" s="1">
        <v>115.61</v>
      </c>
      <c r="U312" s="1">
        <v>76.849999999999994</v>
      </c>
      <c r="V312">
        <v>1</v>
      </c>
      <c r="W312" s="1">
        <v>25</v>
      </c>
      <c r="X312">
        <v>26</v>
      </c>
      <c r="Y312" s="1">
        <v>0</v>
      </c>
      <c r="Z312">
        <v>130</v>
      </c>
      <c r="AA312" s="1">
        <v>372.53</v>
      </c>
      <c r="AB312">
        <v>29</v>
      </c>
      <c r="AC312" s="1">
        <v>118.43</v>
      </c>
      <c r="AD312">
        <v>1</v>
      </c>
      <c r="AE312" s="1">
        <v>0</v>
      </c>
      <c r="AF312" s="1">
        <v>0</v>
      </c>
      <c r="AG312" s="1">
        <v>0</v>
      </c>
      <c r="AH312" s="1">
        <v>0</v>
      </c>
      <c r="AI312" s="1">
        <v>0</v>
      </c>
      <c r="AJ312" s="1">
        <v>384.18</v>
      </c>
      <c r="AL312" s="1">
        <v>4319.1899999999996</v>
      </c>
      <c r="AM312" s="1">
        <v>0</v>
      </c>
      <c r="AN312" s="1">
        <v>1007</v>
      </c>
      <c r="AO312" s="1">
        <v>0</v>
      </c>
      <c r="AP312" s="1">
        <v>8.67</v>
      </c>
      <c r="AQ312">
        <v>85</v>
      </c>
      <c r="AR312" s="1">
        <v>460.48</v>
      </c>
      <c r="AS312">
        <v>325</v>
      </c>
      <c r="AT312" s="1">
        <v>2202.42</v>
      </c>
      <c r="AU312">
        <v>33</v>
      </c>
      <c r="AV312" s="1">
        <v>224.22</v>
      </c>
      <c r="AW312">
        <v>9</v>
      </c>
      <c r="AX312" s="1">
        <v>72.03</v>
      </c>
      <c r="AY312">
        <v>64</v>
      </c>
      <c r="AZ312" s="1">
        <v>277.8</v>
      </c>
      <c r="BC312">
        <v>1</v>
      </c>
      <c r="BD312" s="1">
        <v>2.93</v>
      </c>
      <c r="BE312">
        <v>13</v>
      </c>
      <c r="BF312" s="1">
        <v>85.76</v>
      </c>
      <c r="BG312">
        <v>6</v>
      </c>
      <c r="BH312" s="1">
        <v>29.81</v>
      </c>
      <c r="BI312">
        <v>2</v>
      </c>
      <c r="BJ312" s="1">
        <v>50.07</v>
      </c>
      <c r="BK312">
        <v>8</v>
      </c>
      <c r="BL312" s="1">
        <v>50.33</v>
      </c>
      <c r="BM312">
        <v>1</v>
      </c>
      <c r="BN312" s="1">
        <v>11.29</v>
      </c>
      <c r="BO312" s="1">
        <v>10.37</v>
      </c>
      <c r="BP312">
        <v>13</v>
      </c>
      <c r="BQ312" s="1">
        <v>145.38999999999999</v>
      </c>
      <c r="BR312" s="1">
        <v>124.63</v>
      </c>
      <c r="CA312">
        <v>7</v>
      </c>
      <c r="CB312" s="1">
        <v>117.51</v>
      </c>
      <c r="CG312">
        <v>311</v>
      </c>
      <c r="CH312">
        <v>311</v>
      </c>
    </row>
    <row r="313" spans="1:86" x14ac:dyDescent="0.35">
      <c r="A313">
        <v>350437</v>
      </c>
      <c r="B313" s="2">
        <v>44224</v>
      </c>
      <c r="C313" s="2">
        <v>44224</v>
      </c>
      <c r="D313">
        <v>84</v>
      </c>
      <c r="E313" s="1">
        <v>276.58999999999997</v>
      </c>
      <c r="F313" s="1">
        <v>1162.82</v>
      </c>
      <c r="G313" s="1">
        <v>439.61</v>
      </c>
      <c r="H313" s="1">
        <v>598.17999999999995</v>
      </c>
      <c r="I313" s="1">
        <v>89.64</v>
      </c>
      <c r="J313" s="1">
        <v>2463.64</v>
      </c>
      <c r="K313" s="1">
        <v>0</v>
      </c>
      <c r="L313">
        <v>474</v>
      </c>
      <c r="M313" s="1">
        <v>0</v>
      </c>
      <c r="N313" s="1">
        <v>2552.96</v>
      </c>
      <c r="O313">
        <v>1</v>
      </c>
      <c r="P313" s="1">
        <v>2.59</v>
      </c>
      <c r="Q313">
        <v>11</v>
      </c>
      <c r="R313" s="1">
        <v>23.66</v>
      </c>
      <c r="S313">
        <v>23</v>
      </c>
      <c r="T313" s="1">
        <v>41.25</v>
      </c>
      <c r="U313" s="1">
        <v>21.82</v>
      </c>
      <c r="V313">
        <v>1</v>
      </c>
      <c r="W313" s="1">
        <v>10</v>
      </c>
      <c r="X313">
        <v>24</v>
      </c>
      <c r="Y313" s="1">
        <v>0</v>
      </c>
      <c r="Z313">
        <v>54</v>
      </c>
      <c r="AA313" s="1">
        <v>178.42</v>
      </c>
      <c r="AB313">
        <v>12</v>
      </c>
      <c r="AC313" s="1">
        <v>19.989999999999998</v>
      </c>
      <c r="AD313">
        <v>3</v>
      </c>
      <c r="AE313" s="1">
        <v>7.61</v>
      </c>
      <c r="AF313" s="1">
        <v>1</v>
      </c>
      <c r="AG313" s="1">
        <v>1</v>
      </c>
      <c r="AH313" s="1">
        <v>0</v>
      </c>
      <c r="AI313" s="1">
        <v>0</v>
      </c>
      <c r="AJ313" s="1">
        <v>219.17</v>
      </c>
      <c r="AL313" s="1">
        <v>2463.64</v>
      </c>
      <c r="AM313" s="1">
        <v>1</v>
      </c>
      <c r="AN313" s="1">
        <v>411</v>
      </c>
      <c r="AO313" s="1">
        <v>0</v>
      </c>
      <c r="AP313" s="1">
        <v>3.41</v>
      </c>
      <c r="AQ313">
        <v>49</v>
      </c>
      <c r="AR313" s="1">
        <v>281.75</v>
      </c>
      <c r="AS313">
        <v>209</v>
      </c>
      <c r="AT313" s="1">
        <v>1301.68</v>
      </c>
      <c r="AU313">
        <v>43</v>
      </c>
      <c r="AV313" s="1">
        <v>242.1</v>
      </c>
      <c r="AW313">
        <v>6</v>
      </c>
      <c r="AX313" s="1">
        <v>34.32</v>
      </c>
      <c r="AY313">
        <v>41</v>
      </c>
      <c r="AZ313" s="1">
        <v>177.54</v>
      </c>
      <c r="BA313">
        <v>1</v>
      </c>
      <c r="BB313" s="1">
        <v>4.66</v>
      </c>
      <c r="BC313">
        <v>1</v>
      </c>
      <c r="BD313" s="1">
        <v>15.57</v>
      </c>
      <c r="BE313">
        <v>13</v>
      </c>
      <c r="BF313" s="1">
        <v>72.45</v>
      </c>
      <c r="BG313">
        <v>4</v>
      </c>
      <c r="BH313" s="1">
        <v>46.47</v>
      </c>
      <c r="BK313">
        <v>8</v>
      </c>
      <c r="BL313" s="1">
        <v>48.54</v>
      </c>
      <c r="BP313">
        <v>3</v>
      </c>
      <c r="BQ313" s="1">
        <v>45.4</v>
      </c>
      <c r="BR313" s="1">
        <v>41.68</v>
      </c>
      <c r="CA313">
        <v>2</v>
      </c>
      <c r="CB313" s="1">
        <v>15.74</v>
      </c>
      <c r="CG313">
        <v>312</v>
      </c>
      <c r="CH313">
        <v>312</v>
      </c>
    </row>
    <row r="314" spans="1:86" x14ac:dyDescent="0.35">
      <c r="A314">
        <v>351323</v>
      </c>
      <c r="B314" s="2">
        <v>44224</v>
      </c>
      <c r="C314" s="2">
        <v>44224</v>
      </c>
      <c r="D314">
        <v>140</v>
      </c>
      <c r="E314" s="1">
        <v>451.98</v>
      </c>
      <c r="F314" s="1">
        <v>1544.05</v>
      </c>
      <c r="G314" s="1">
        <v>519.71</v>
      </c>
      <c r="H314" s="1">
        <v>786.18</v>
      </c>
      <c r="I314" s="1">
        <v>130.79</v>
      </c>
      <c r="J314" s="1">
        <v>3187.62</v>
      </c>
      <c r="K314" s="1">
        <v>222.63</v>
      </c>
      <c r="L314">
        <v>620</v>
      </c>
      <c r="M314" s="1">
        <v>224.82</v>
      </c>
      <c r="N314" s="1">
        <v>3351.45</v>
      </c>
      <c r="O314">
        <v>0</v>
      </c>
      <c r="P314" s="1">
        <v>0</v>
      </c>
      <c r="Q314">
        <v>3</v>
      </c>
      <c r="R314" s="1">
        <v>0.33</v>
      </c>
      <c r="S314">
        <v>64</v>
      </c>
      <c r="T314" s="1">
        <v>120.79</v>
      </c>
      <c r="U314" s="1">
        <v>44.9</v>
      </c>
      <c r="V314">
        <v>1</v>
      </c>
      <c r="W314" s="1">
        <v>10</v>
      </c>
      <c r="X314">
        <v>13</v>
      </c>
      <c r="Y314" s="1">
        <v>0</v>
      </c>
      <c r="Z314">
        <v>114</v>
      </c>
      <c r="AA314" s="1">
        <v>416.18</v>
      </c>
      <c r="AB314">
        <v>20</v>
      </c>
      <c r="AC314" s="1">
        <v>62.05</v>
      </c>
      <c r="AD314">
        <v>4</v>
      </c>
      <c r="AE314" s="1">
        <v>4.1100000000000003</v>
      </c>
      <c r="AF314" s="1">
        <v>0</v>
      </c>
      <c r="AG314" s="1">
        <v>0</v>
      </c>
      <c r="AH314" s="1">
        <v>0</v>
      </c>
      <c r="AI314" s="1">
        <v>0</v>
      </c>
      <c r="AJ314" s="1">
        <v>204.47</v>
      </c>
      <c r="AL314" s="1">
        <v>3410.25</v>
      </c>
      <c r="AM314" s="1">
        <v>0</v>
      </c>
      <c r="AN314" s="1">
        <v>723</v>
      </c>
      <c r="AO314" s="1">
        <v>0</v>
      </c>
      <c r="AP314" s="1">
        <v>0.42</v>
      </c>
      <c r="AQ314">
        <v>81</v>
      </c>
      <c r="AR314" s="1">
        <v>533.52</v>
      </c>
      <c r="AS314">
        <v>280</v>
      </c>
      <c r="AT314" s="1">
        <v>1750.62</v>
      </c>
      <c r="AU314">
        <v>10</v>
      </c>
      <c r="AV314" s="1">
        <v>72.459999999999994</v>
      </c>
      <c r="AW314">
        <v>6</v>
      </c>
      <c r="AX314" s="1">
        <v>44.64</v>
      </c>
      <c r="AY314">
        <v>73</v>
      </c>
      <c r="AZ314" s="1">
        <v>295.11</v>
      </c>
      <c r="BA314">
        <v>1</v>
      </c>
      <c r="BB314" s="1">
        <v>18.82</v>
      </c>
      <c r="BE314">
        <v>8</v>
      </c>
      <c r="BF314" s="1">
        <v>48.18</v>
      </c>
      <c r="BG314">
        <v>1</v>
      </c>
      <c r="BH314" s="1">
        <v>5.13</v>
      </c>
      <c r="BK314">
        <v>4</v>
      </c>
      <c r="BL314" s="1">
        <v>37.74</v>
      </c>
      <c r="BP314">
        <v>6</v>
      </c>
      <c r="BQ314" s="1">
        <v>63.78</v>
      </c>
      <c r="BR314" s="1">
        <v>39.47</v>
      </c>
      <c r="CA314">
        <v>4</v>
      </c>
      <c r="CB314" s="1">
        <v>32.14</v>
      </c>
      <c r="CG314">
        <v>313</v>
      </c>
      <c r="CH314">
        <v>313</v>
      </c>
    </row>
    <row r="315" spans="1:86" x14ac:dyDescent="0.35">
      <c r="A315">
        <v>353927</v>
      </c>
      <c r="B315" s="2">
        <v>44224</v>
      </c>
      <c r="C315" s="2">
        <v>44224</v>
      </c>
      <c r="D315">
        <v>168</v>
      </c>
      <c r="E315" s="1">
        <v>574.22</v>
      </c>
      <c r="F315" s="1">
        <v>1768.55</v>
      </c>
      <c r="G315" s="1">
        <v>709.15</v>
      </c>
      <c r="H315" s="1">
        <v>828.08</v>
      </c>
      <c r="I315" s="1">
        <v>114.27</v>
      </c>
      <c r="J315" s="1">
        <v>3633.48</v>
      </c>
      <c r="K315" s="1">
        <v>0</v>
      </c>
      <c r="L315">
        <v>604</v>
      </c>
      <c r="M315" s="1">
        <v>0</v>
      </c>
      <c r="N315" s="1">
        <v>3764.44</v>
      </c>
      <c r="O315">
        <v>2</v>
      </c>
      <c r="P315" s="1">
        <v>9.9700000000000006</v>
      </c>
      <c r="Q315">
        <v>2</v>
      </c>
      <c r="R315" s="1">
        <v>1.1599999999999999</v>
      </c>
      <c r="S315">
        <v>52</v>
      </c>
      <c r="T315" s="1">
        <v>74.430000000000007</v>
      </c>
      <c r="U315" s="1">
        <v>45.4</v>
      </c>
      <c r="V315">
        <v>0</v>
      </c>
      <c r="W315" s="1">
        <v>0</v>
      </c>
      <c r="X315">
        <v>10</v>
      </c>
      <c r="Y315" s="1">
        <v>0</v>
      </c>
      <c r="Z315">
        <v>98</v>
      </c>
      <c r="AA315" s="1">
        <v>297.3</v>
      </c>
      <c r="AB315">
        <v>7</v>
      </c>
      <c r="AC315" s="1">
        <v>24.73</v>
      </c>
      <c r="AD315">
        <v>6</v>
      </c>
      <c r="AE315" s="1">
        <v>16.09</v>
      </c>
      <c r="AF315" s="1">
        <v>0</v>
      </c>
      <c r="AG315" s="1">
        <v>0</v>
      </c>
      <c r="AH315" s="1">
        <v>0</v>
      </c>
      <c r="AI315" s="1">
        <v>0</v>
      </c>
      <c r="AJ315" s="1">
        <v>217.86</v>
      </c>
      <c r="AL315" s="1">
        <v>3633.48</v>
      </c>
      <c r="AM315" s="1">
        <v>0</v>
      </c>
      <c r="AN315" s="1">
        <v>789</v>
      </c>
      <c r="AO315" s="1">
        <v>0</v>
      </c>
      <c r="AP315" s="1">
        <v>4.05</v>
      </c>
      <c r="AQ315">
        <v>92</v>
      </c>
      <c r="AR315" s="1">
        <v>607.54999999999995</v>
      </c>
      <c r="AS315">
        <v>247</v>
      </c>
      <c r="AT315" s="1">
        <v>1744.32</v>
      </c>
      <c r="AU315">
        <v>5</v>
      </c>
      <c r="AV315" s="1">
        <v>32.86</v>
      </c>
      <c r="AW315">
        <v>3</v>
      </c>
      <c r="AX315" s="1">
        <v>17.53</v>
      </c>
      <c r="AY315">
        <v>53</v>
      </c>
      <c r="AZ315" s="1">
        <v>255.15</v>
      </c>
      <c r="BE315">
        <v>19</v>
      </c>
      <c r="BF315" s="1">
        <v>119.6</v>
      </c>
      <c r="BG315">
        <v>1</v>
      </c>
      <c r="BH315" s="1">
        <v>3.9</v>
      </c>
      <c r="BK315">
        <v>12</v>
      </c>
      <c r="BL315" s="1">
        <v>56.73</v>
      </c>
      <c r="BP315">
        <v>7</v>
      </c>
      <c r="BQ315" s="1">
        <v>91.75</v>
      </c>
      <c r="BR315" s="1">
        <v>86.56</v>
      </c>
      <c r="CA315">
        <v>12</v>
      </c>
      <c r="CB315" s="1">
        <v>137</v>
      </c>
      <c r="CG315">
        <v>314</v>
      </c>
      <c r="CH315">
        <v>314</v>
      </c>
    </row>
    <row r="316" spans="1:86" x14ac:dyDescent="0.35">
      <c r="A316">
        <v>354030</v>
      </c>
      <c r="B316" s="2">
        <v>44224</v>
      </c>
      <c r="C316" s="2">
        <v>44224</v>
      </c>
      <c r="D316">
        <v>120</v>
      </c>
      <c r="E316" s="1">
        <v>403.18</v>
      </c>
      <c r="F316" s="1">
        <v>1335.56</v>
      </c>
      <c r="G316" s="1">
        <v>577.23</v>
      </c>
      <c r="H316" s="1">
        <v>556.9</v>
      </c>
      <c r="I316" s="1">
        <v>90.71</v>
      </c>
      <c r="J316" s="1">
        <v>2745.51</v>
      </c>
      <c r="K316" s="1">
        <v>106.12</v>
      </c>
      <c r="L316">
        <v>493</v>
      </c>
      <c r="M316" s="1">
        <v>106.12</v>
      </c>
      <c r="N316" s="1">
        <v>2872.93</v>
      </c>
      <c r="O316">
        <v>0</v>
      </c>
      <c r="P316" s="1">
        <v>0</v>
      </c>
      <c r="Q316">
        <v>6</v>
      </c>
      <c r="R316" s="1">
        <v>10.75</v>
      </c>
      <c r="S316">
        <v>43</v>
      </c>
      <c r="T316" s="1">
        <v>89.65</v>
      </c>
      <c r="U316" s="1">
        <v>33.020000000000003</v>
      </c>
      <c r="V316">
        <v>0</v>
      </c>
      <c r="W316" s="1">
        <v>0</v>
      </c>
      <c r="X316">
        <v>9</v>
      </c>
      <c r="Y316" s="1">
        <v>0</v>
      </c>
      <c r="Z316">
        <v>54</v>
      </c>
      <c r="AA316" s="1">
        <v>177.8</v>
      </c>
      <c r="AB316">
        <v>10</v>
      </c>
      <c r="AC316" s="1">
        <v>25.17</v>
      </c>
      <c r="AD316">
        <v>3</v>
      </c>
      <c r="AE316" s="1">
        <v>15.5</v>
      </c>
      <c r="AF316" s="1">
        <v>6</v>
      </c>
      <c r="AG316" s="1">
        <v>6</v>
      </c>
      <c r="AH316" s="1">
        <v>0</v>
      </c>
      <c r="AI316" s="1">
        <v>0</v>
      </c>
      <c r="AJ316" s="1">
        <v>171.07</v>
      </c>
      <c r="AL316" s="1">
        <v>2851.63</v>
      </c>
      <c r="AM316" s="1">
        <v>6</v>
      </c>
      <c r="AN316" s="1">
        <v>511</v>
      </c>
      <c r="AO316" s="1">
        <v>0</v>
      </c>
      <c r="AP316" s="1">
        <v>0.98</v>
      </c>
      <c r="AQ316">
        <v>69</v>
      </c>
      <c r="AR316" s="1">
        <v>420.46</v>
      </c>
      <c r="AS316">
        <v>206</v>
      </c>
      <c r="AT316" s="1">
        <v>1389.66</v>
      </c>
      <c r="AU316">
        <v>17</v>
      </c>
      <c r="AV316" s="1">
        <v>139.56</v>
      </c>
      <c r="AW316">
        <v>5</v>
      </c>
      <c r="AX316" s="1">
        <v>27.95</v>
      </c>
      <c r="AY316">
        <v>63</v>
      </c>
      <c r="AZ316" s="1">
        <v>294.57</v>
      </c>
      <c r="BC316">
        <v>1</v>
      </c>
      <c r="BD316" s="1">
        <v>14.24</v>
      </c>
      <c r="BE316">
        <v>20</v>
      </c>
      <c r="BF316" s="1">
        <v>119.54</v>
      </c>
      <c r="BG316">
        <v>1</v>
      </c>
      <c r="BH316" s="1">
        <v>9.1999999999999993</v>
      </c>
      <c r="BK316">
        <v>10</v>
      </c>
      <c r="BL316" s="1">
        <v>52.38</v>
      </c>
      <c r="BM316">
        <v>1</v>
      </c>
      <c r="BN316" s="1">
        <v>4.76</v>
      </c>
      <c r="BO316" s="1">
        <v>4.49</v>
      </c>
      <c r="BP316">
        <v>1</v>
      </c>
      <c r="BQ316" s="1">
        <v>10.06</v>
      </c>
      <c r="BR316" s="1">
        <v>9.49</v>
      </c>
      <c r="CA316">
        <v>3</v>
      </c>
      <c r="CB316" s="1">
        <v>36.299999999999997</v>
      </c>
      <c r="CG316">
        <v>315</v>
      </c>
      <c r="CH316">
        <v>315</v>
      </c>
    </row>
    <row r="317" spans="1:86" x14ac:dyDescent="0.35">
      <c r="A317">
        <v>355439</v>
      </c>
      <c r="B317" s="2">
        <v>44224</v>
      </c>
      <c r="C317" s="2">
        <v>44224</v>
      </c>
      <c r="D317">
        <v>200</v>
      </c>
      <c r="E317" s="1">
        <v>645.07000000000005</v>
      </c>
      <c r="F317" s="1">
        <v>2013.93</v>
      </c>
      <c r="G317" s="1">
        <v>869.35</v>
      </c>
      <c r="H317" s="1">
        <v>914.91</v>
      </c>
      <c r="I317" s="1">
        <v>148.57</v>
      </c>
      <c r="J317" s="1">
        <v>4205.04</v>
      </c>
      <c r="K317" s="1">
        <v>0</v>
      </c>
      <c r="L317">
        <v>748</v>
      </c>
      <c r="M317" s="1">
        <v>0</v>
      </c>
      <c r="N317" s="1">
        <v>4337.58</v>
      </c>
      <c r="O317">
        <v>0</v>
      </c>
      <c r="P317" s="1">
        <v>0</v>
      </c>
      <c r="Q317">
        <v>8</v>
      </c>
      <c r="R317" s="1">
        <v>3.53</v>
      </c>
      <c r="S317">
        <v>55</v>
      </c>
      <c r="T317" s="1">
        <v>97.41</v>
      </c>
      <c r="U317" s="1">
        <v>31.6</v>
      </c>
      <c r="V317">
        <v>2</v>
      </c>
      <c r="W317" s="1">
        <v>45</v>
      </c>
      <c r="X317">
        <v>15</v>
      </c>
      <c r="Y317" s="1">
        <v>0</v>
      </c>
      <c r="Z317">
        <v>99</v>
      </c>
      <c r="AA317" s="1">
        <v>275.14999999999998</v>
      </c>
      <c r="AB317">
        <v>13</v>
      </c>
      <c r="AC317" s="1">
        <v>42.74</v>
      </c>
      <c r="AD317">
        <v>4</v>
      </c>
      <c r="AE317" s="1">
        <v>38.42</v>
      </c>
      <c r="AF317" s="1">
        <v>0.1</v>
      </c>
      <c r="AG317" s="1">
        <v>0</v>
      </c>
      <c r="AH317" s="1">
        <v>0</v>
      </c>
      <c r="AI317" s="1">
        <v>0</v>
      </c>
      <c r="AJ317" s="1">
        <v>336.66</v>
      </c>
      <c r="AL317" s="1">
        <v>4205.1400000000003</v>
      </c>
      <c r="AM317" s="1">
        <v>0</v>
      </c>
      <c r="AN317" s="1">
        <v>659</v>
      </c>
      <c r="AO317" s="1">
        <v>0</v>
      </c>
      <c r="AP317" s="1">
        <v>-17.309999999999999</v>
      </c>
      <c r="AQ317">
        <v>111</v>
      </c>
      <c r="AR317" s="1">
        <v>757.8</v>
      </c>
      <c r="AS317">
        <v>309</v>
      </c>
      <c r="AT317" s="1">
        <v>2086.79</v>
      </c>
      <c r="AU317">
        <v>31</v>
      </c>
      <c r="AV317" s="1">
        <v>272.75</v>
      </c>
      <c r="AW317">
        <v>14</v>
      </c>
      <c r="AX317" s="1">
        <v>102.74</v>
      </c>
      <c r="AY317">
        <v>57</v>
      </c>
      <c r="AZ317" s="1">
        <v>237.35</v>
      </c>
      <c r="BA317">
        <v>4</v>
      </c>
      <c r="BB317" s="1">
        <v>19.420000000000002</v>
      </c>
      <c r="BC317">
        <v>4</v>
      </c>
      <c r="BD317" s="1">
        <v>25.1</v>
      </c>
      <c r="BE317">
        <v>14</v>
      </c>
      <c r="BF317" s="1">
        <v>103.29</v>
      </c>
      <c r="BG317">
        <v>4</v>
      </c>
      <c r="BH317" s="1">
        <v>15.35</v>
      </c>
      <c r="BK317">
        <v>10</v>
      </c>
      <c r="BL317" s="1">
        <v>79.27</v>
      </c>
      <c r="BM317">
        <v>3</v>
      </c>
      <c r="BN317" s="1">
        <v>24.47</v>
      </c>
      <c r="BO317" s="1">
        <v>22.65</v>
      </c>
      <c r="BP317">
        <v>6</v>
      </c>
      <c r="BQ317" s="1">
        <v>83.99</v>
      </c>
      <c r="BR317" s="1">
        <v>77.77</v>
      </c>
      <c r="CA317">
        <v>5</v>
      </c>
      <c r="CB317" s="1">
        <v>72.02</v>
      </c>
      <c r="CC317">
        <v>1</v>
      </c>
      <c r="CD317" s="1">
        <v>30.15</v>
      </c>
      <c r="CG317">
        <v>316</v>
      </c>
      <c r="CH317">
        <v>316</v>
      </c>
    </row>
    <row r="318" spans="1:86" x14ac:dyDescent="0.35">
      <c r="A318">
        <v>350432</v>
      </c>
      <c r="B318" s="2">
        <v>44225</v>
      </c>
      <c r="C318" s="2">
        <v>44225</v>
      </c>
      <c r="D318">
        <v>189</v>
      </c>
      <c r="E318" s="1">
        <v>597.12</v>
      </c>
      <c r="F318" s="1">
        <v>2000.77</v>
      </c>
      <c r="G318" s="1">
        <v>615.55999999999995</v>
      </c>
      <c r="H318" s="1">
        <v>984.56</v>
      </c>
      <c r="I318" s="1">
        <v>295.42</v>
      </c>
      <c r="J318" s="1">
        <v>4221.3999999999996</v>
      </c>
      <c r="K318" s="1">
        <v>507.21</v>
      </c>
      <c r="L318">
        <v>775</v>
      </c>
      <c r="M318" s="1">
        <v>521.13</v>
      </c>
      <c r="N318" s="1">
        <v>4432.83</v>
      </c>
      <c r="O318">
        <v>3</v>
      </c>
      <c r="P318" s="1">
        <v>21.05</v>
      </c>
      <c r="Q318">
        <v>16</v>
      </c>
      <c r="R318" s="1">
        <v>16.3</v>
      </c>
      <c r="S318">
        <v>66</v>
      </c>
      <c r="T318" s="1">
        <v>114.14</v>
      </c>
      <c r="U318" s="1">
        <v>73.86</v>
      </c>
      <c r="V318">
        <v>3</v>
      </c>
      <c r="W318" s="1">
        <v>25.87</v>
      </c>
      <c r="X318">
        <v>14</v>
      </c>
      <c r="Y318" s="1">
        <v>0</v>
      </c>
      <c r="Z318">
        <v>159</v>
      </c>
      <c r="AA318" s="1">
        <v>684.39</v>
      </c>
      <c r="AB318">
        <v>29</v>
      </c>
      <c r="AC318" s="1">
        <v>73.02</v>
      </c>
      <c r="AD318">
        <v>3</v>
      </c>
      <c r="AE318" s="1">
        <v>9.44</v>
      </c>
      <c r="AF318" s="1">
        <v>0</v>
      </c>
      <c r="AG318" s="1">
        <v>0</v>
      </c>
      <c r="AH318" s="1">
        <v>0</v>
      </c>
      <c r="AI318" s="1">
        <v>0</v>
      </c>
      <c r="AJ318" s="1">
        <v>420.61</v>
      </c>
      <c r="AL318" s="1">
        <v>4728.6099999999997</v>
      </c>
      <c r="AM318" s="1">
        <v>0</v>
      </c>
      <c r="AN318" s="1">
        <v>809</v>
      </c>
      <c r="AO318" s="1">
        <v>0</v>
      </c>
      <c r="AP318" s="1">
        <v>11.09</v>
      </c>
      <c r="AQ318">
        <v>89</v>
      </c>
      <c r="AR318" s="1">
        <v>585.59</v>
      </c>
      <c r="AS318">
        <v>352</v>
      </c>
      <c r="AT318" s="1">
        <v>2432.21</v>
      </c>
      <c r="AU318">
        <v>36</v>
      </c>
      <c r="AV318" s="1">
        <v>258.63</v>
      </c>
      <c r="AW318">
        <v>13</v>
      </c>
      <c r="AX318" s="1">
        <v>96.27</v>
      </c>
      <c r="AY318">
        <v>69</v>
      </c>
      <c r="AZ318" s="1">
        <v>502.85</v>
      </c>
      <c r="BA318">
        <v>2</v>
      </c>
      <c r="BB318" s="1">
        <v>6.13</v>
      </c>
      <c r="BC318">
        <v>1</v>
      </c>
      <c r="BD318" s="1">
        <v>15.91</v>
      </c>
      <c r="BE318">
        <v>19</v>
      </c>
      <c r="BF318" s="1">
        <v>93.26</v>
      </c>
      <c r="BG318">
        <v>3</v>
      </c>
      <c r="BH318" s="1">
        <v>15.63</v>
      </c>
      <c r="BK318">
        <v>9</v>
      </c>
      <c r="BL318" s="1">
        <v>37.229999999999997</v>
      </c>
      <c r="BM318">
        <v>1</v>
      </c>
      <c r="BN318" s="1">
        <v>16.510000000000002</v>
      </c>
      <c r="BO318" s="1">
        <v>15.16</v>
      </c>
      <c r="BP318">
        <v>11</v>
      </c>
      <c r="BQ318" s="1">
        <v>168.41</v>
      </c>
      <c r="BR318" s="1">
        <v>169.43</v>
      </c>
      <c r="CA318">
        <v>8</v>
      </c>
      <c r="CB318" s="1">
        <v>148.55000000000001</v>
      </c>
      <c r="CG318">
        <v>317</v>
      </c>
      <c r="CH318">
        <v>317</v>
      </c>
    </row>
    <row r="319" spans="1:86" x14ac:dyDescent="0.35">
      <c r="A319">
        <v>350437</v>
      </c>
      <c r="B319" s="2">
        <v>44225</v>
      </c>
      <c r="C319" s="2">
        <v>44225</v>
      </c>
      <c r="D319">
        <v>113</v>
      </c>
      <c r="E319" s="1">
        <v>358.24</v>
      </c>
      <c r="F319" s="1">
        <v>1414.47</v>
      </c>
      <c r="G319" s="1">
        <v>604.36</v>
      </c>
      <c r="H319" s="1">
        <v>676.8</v>
      </c>
      <c r="I319" s="1">
        <v>74.44</v>
      </c>
      <c r="J319" s="1">
        <v>2939.78</v>
      </c>
      <c r="K319" s="1">
        <v>0</v>
      </c>
      <c r="L319">
        <v>478</v>
      </c>
      <c r="M319" s="1">
        <v>0</v>
      </c>
      <c r="N319" s="1">
        <v>3042.52</v>
      </c>
      <c r="O319">
        <v>0</v>
      </c>
      <c r="P319" s="1">
        <v>0</v>
      </c>
      <c r="Q319">
        <v>7</v>
      </c>
      <c r="R319" s="1">
        <v>3.65</v>
      </c>
      <c r="S319">
        <v>24</v>
      </c>
      <c r="T319" s="1">
        <v>60.83</v>
      </c>
      <c r="U319" s="1">
        <v>38.26</v>
      </c>
      <c r="V319">
        <v>0</v>
      </c>
      <c r="W319" s="1">
        <v>0</v>
      </c>
      <c r="X319">
        <v>12</v>
      </c>
      <c r="Y319" s="1">
        <v>0</v>
      </c>
      <c r="Z319">
        <v>67</v>
      </c>
      <c r="AA319" s="1">
        <v>180.26</v>
      </c>
      <c r="AB319">
        <v>7</v>
      </c>
      <c r="AC319" s="1">
        <v>18.88</v>
      </c>
      <c r="AD319">
        <v>3</v>
      </c>
      <c r="AE319" s="1">
        <v>40.26</v>
      </c>
      <c r="AF319" s="1">
        <v>0</v>
      </c>
      <c r="AG319" s="1">
        <v>0</v>
      </c>
      <c r="AH319" s="1">
        <v>0</v>
      </c>
      <c r="AI319" s="1">
        <v>0</v>
      </c>
      <c r="AJ319" s="1">
        <v>261.56</v>
      </c>
      <c r="AL319" s="1">
        <v>2939.78</v>
      </c>
      <c r="AM319" s="1">
        <v>0</v>
      </c>
      <c r="AN319" s="1">
        <v>421</v>
      </c>
      <c r="AO319" s="1">
        <v>0</v>
      </c>
      <c r="AP319" s="1">
        <v>1.59</v>
      </c>
      <c r="AQ319">
        <v>67</v>
      </c>
      <c r="AR319" s="1">
        <v>431.47</v>
      </c>
      <c r="AS319">
        <v>214</v>
      </c>
      <c r="AT319" s="1">
        <v>1563.8</v>
      </c>
      <c r="AU319">
        <v>50</v>
      </c>
      <c r="AV319" s="1">
        <v>379.49</v>
      </c>
      <c r="AW319">
        <v>6</v>
      </c>
      <c r="AX319" s="1">
        <v>33.049999999999997</v>
      </c>
      <c r="AY319">
        <v>46</v>
      </c>
      <c r="AZ319" s="1">
        <v>250.28</v>
      </c>
      <c r="BP319">
        <v>8</v>
      </c>
      <c r="BQ319" s="1">
        <v>109.65</v>
      </c>
      <c r="BR319" s="1">
        <v>89.21</v>
      </c>
      <c r="CA319">
        <v>2</v>
      </c>
      <c r="CB319" s="1">
        <v>14.19</v>
      </c>
      <c r="CG319">
        <v>318</v>
      </c>
      <c r="CH319">
        <v>318</v>
      </c>
    </row>
    <row r="320" spans="1:86" x14ac:dyDescent="0.35">
      <c r="A320">
        <v>351323</v>
      </c>
      <c r="B320" s="2">
        <v>44225</v>
      </c>
      <c r="C320" s="2">
        <v>44225</v>
      </c>
      <c r="D320">
        <v>174</v>
      </c>
      <c r="E320" s="1">
        <v>571.38</v>
      </c>
      <c r="F320" s="1">
        <v>1834.38</v>
      </c>
      <c r="G320" s="1">
        <v>747.53</v>
      </c>
      <c r="H320" s="1">
        <v>885.35</v>
      </c>
      <c r="I320" s="1">
        <v>145.31</v>
      </c>
      <c r="J320" s="1">
        <v>3868.94</v>
      </c>
      <c r="K320" s="1">
        <v>290.63</v>
      </c>
      <c r="L320">
        <v>705</v>
      </c>
      <c r="M320" s="1">
        <v>290.63</v>
      </c>
      <c r="N320" s="1">
        <v>4033.1</v>
      </c>
      <c r="O320">
        <v>3</v>
      </c>
      <c r="P320" s="1">
        <v>6.69</v>
      </c>
      <c r="Q320">
        <v>4</v>
      </c>
      <c r="R320" s="1">
        <v>0.56000000000000005</v>
      </c>
      <c r="S320">
        <v>42</v>
      </c>
      <c r="T320" s="1">
        <v>105.07</v>
      </c>
      <c r="U320" s="1">
        <v>49.74</v>
      </c>
      <c r="V320">
        <v>2</v>
      </c>
      <c r="W320" s="1">
        <v>35</v>
      </c>
      <c r="X320">
        <v>12</v>
      </c>
      <c r="Y320" s="1">
        <v>0</v>
      </c>
      <c r="Z320">
        <v>116</v>
      </c>
      <c r="AA320" s="1">
        <v>323.87</v>
      </c>
      <c r="AB320">
        <v>11</v>
      </c>
      <c r="AC320" s="1">
        <v>34.1</v>
      </c>
      <c r="AD320">
        <v>4</v>
      </c>
      <c r="AE320" s="1">
        <v>15.51</v>
      </c>
      <c r="AF320" s="1">
        <v>0</v>
      </c>
      <c r="AG320" s="1">
        <v>0</v>
      </c>
      <c r="AH320" s="1">
        <v>0</v>
      </c>
      <c r="AI320" s="1">
        <v>0</v>
      </c>
      <c r="AJ320" s="1">
        <v>249.57</v>
      </c>
      <c r="AL320" s="1">
        <v>4161.67</v>
      </c>
      <c r="AM320" s="1">
        <v>0</v>
      </c>
      <c r="AN320" s="1">
        <v>791</v>
      </c>
      <c r="AO320" s="1">
        <v>0</v>
      </c>
      <c r="AP320" s="1">
        <v>2.16</v>
      </c>
      <c r="AQ320">
        <v>113</v>
      </c>
      <c r="AR320" s="1">
        <v>801.16</v>
      </c>
      <c r="AS320">
        <v>315</v>
      </c>
      <c r="AT320" s="1">
        <v>2097.33</v>
      </c>
      <c r="AU320">
        <v>10</v>
      </c>
      <c r="AV320" s="1">
        <v>91.06</v>
      </c>
      <c r="AW320">
        <v>7</v>
      </c>
      <c r="AX320" s="1">
        <v>39.47</v>
      </c>
      <c r="AY320">
        <v>70</v>
      </c>
      <c r="AZ320" s="1">
        <v>345.2</v>
      </c>
      <c r="BE320">
        <v>13</v>
      </c>
      <c r="BF320" s="1">
        <v>69.290000000000006</v>
      </c>
      <c r="BG320">
        <v>4</v>
      </c>
      <c r="BH320" s="1">
        <v>27.24</v>
      </c>
      <c r="BK320">
        <v>13</v>
      </c>
      <c r="BL320" s="1">
        <v>106.17</v>
      </c>
      <c r="BM320">
        <v>1</v>
      </c>
      <c r="BN320" s="1">
        <v>15.22</v>
      </c>
      <c r="BO320" s="1">
        <v>14.36</v>
      </c>
      <c r="BP320">
        <v>6</v>
      </c>
      <c r="BQ320" s="1">
        <v>37.869999999999997</v>
      </c>
      <c r="BR320" s="1">
        <v>35.72</v>
      </c>
      <c r="CA320">
        <v>3</v>
      </c>
      <c r="CB320" s="1">
        <v>27.39</v>
      </c>
      <c r="CG320">
        <v>319</v>
      </c>
      <c r="CH320">
        <v>319</v>
      </c>
    </row>
    <row r="321" spans="1:86" x14ac:dyDescent="0.35">
      <c r="A321">
        <v>353927</v>
      </c>
      <c r="B321" s="2">
        <v>44225</v>
      </c>
      <c r="C321" s="2">
        <v>44225</v>
      </c>
      <c r="D321">
        <v>173</v>
      </c>
      <c r="E321" s="1">
        <v>571.53</v>
      </c>
      <c r="F321" s="1">
        <v>1874.37</v>
      </c>
      <c r="G321" s="1">
        <v>784.85</v>
      </c>
      <c r="H321" s="1">
        <v>789.9</v>
      </c>
      <c r="I321" s="1">
        <v>149.94999999999999</v>
      </c>
      <c r="J321" s="1">
        <v>3814.82</v>
      </c>
      <c r="K321" s="1">
        <v>0</v>
      </c>
      <c r="L321">
        <v>627</v>
      </c>
      <c r="M321" s="1">
        <v>0</v>
      </c>
      <c r="N321" s="1">
        <v>3992.13</v>
      </c>
      <c r="O321">
        <v>2</v>
      </c>
      <c r="P321" s="1">
        <v>9.18</v>
      </c>
      <c r="Q321">
        <v>6</v>
      </c>
      <c r="R321" s="1">
        <v>5.71</v>
      </c>
      <c r="S321">
        <v>64</v>
      </c>
      <c r="T321" s="1">
        <v>104.24</v>
      </c>
      <c r="U321" s="1">
        <v>58.18</v>
      </c>
      <c r="V321">
        <v>3</v>
      </c>
      <c r="W321" s="1">
        <v>45</v>
      </c>
      <c r="X321">
        <v>11</v>
      </c>
      <c r="Y321" s="1">
        <v>0</v>
      </c>
      <c r="Z321">
        <v>84</v>
      </c>
      <c r="AA321" s="1">
        <v>246.04</v>
      </c>
      <c r="AB321">
        <v>10</v>
      </c>
      <c r="AC321" s="1">
        <v>22.25</v>
      </c>
      <c r="AD321">
        <v>7</v>
      </c>
      <c r="AE321" s="1">
        <v>21.33</v>
      </c>
      <c r="AF321" s="1">
        <v>0</v>
      </c>
      <c r="AG321" s="1">
        <v>0</v>
      </c>
      <c r="AH321" s="1">
        <v>0</v>
      </c>
      <c r="AI321" s="1">
        <v>0</v>
      </c>
      <c r="AJ321" s="1">
        <v>228.76</v>
      </c>
      <c r="AL321" s="1">
        <v>3814.82</v>
      </c>
      <c r="AM321" s="1">
        <v>0</v>
      </c>
      <c r="AN321" s="1">
        <v>782</v>
      </c>
      <c r="AO321" s="1">
        <v>0</v>
      </c>
      <c r="AP321" s="1">
        <v>-13.91</v>
      </c>
      <c r="AQ321">
        <v>103</v>
      </c>
      <c r="AR321" s="1">
        <v>690.04</v>
      </c>
      <c r="AS321">
        <v>245</v>
      </c>
      <c r="AT321" s="1">
        <v>1689.38</v>
      </c>
      <c r="AU321">
        <v>9</v>
      </c>
      <c r="AV321" s="1">
        <v>48.78</v>
      </c>
      <c r="AW321">
        <v>9</v>
      </c>
      <c r="AX321" s="1">
        <v>69.319999999999993</v>
      </c>
      <c r="AY321">
        <v>63</v>
      </c>
      <c r="AZ321" s="1">
        <v>311.89</v>
      </c>
      <c r="BA321">
        <v>1</v>
      </c>
      <c r="BB321" s="1">
        <v>8.65</v>
      </c>
      <c r="BC321">
        <v>1</v>
      </c>
      <c r="BD321" s="1">
        <v>6.55</v>
      </c>
      <c r="BE321">
        <v>15</v>
      </c>
      <c r="BF321" s="1">
        <v>99.89</v>
      </c>
      <c r="BG321">
        <v>2</v>
      </c>
      <c r="BH321" s="1">
        <v>13.61</v>
      </c>
      <c r="BK321">
        <v>7</v>
      </c>
      <c r="BL321" s="1">
        <v>61.02</v>
      </c>
      <c r="BP321">
        <v>10</v>
      </c>
      <c r="BQ321" s="1">
        <v>205.08</v>
      </c>
      <c r="BR321" s="1">
        <v>193.47</v>
      </c>
      <c r="CA321">
        <v>7</v>
      </c>
      <c r="CB321" s="1">
        <v>88.46</v>
      </c>
      <c r="CG321">
        <v>320</v>
      </c>
      <c r="CH321">
        <v>320</v>
      </c>
    </row>
    <row r="322" spans="1:86" x14ac:dyDescent="0.35">
      <c r="A322">
        <v>354030</v>
      </c>
      <c r="B322" s="2">
        <v>44225</v>
      </c>
      <c r="C322" s="2">
        <v>44225</v>
      </c>
      <c r="D322">
        <v>133</v>
      </c>
      <c r="E322" s="1">
        <v>444.05</v>
      </c>
      <c r="F322" s="1">
        <v>1642.07</v>
      </c>
      <c r="G322" s="1">
        <v>833.54</v>
      </c>
      <c r="H322" s="1">
        <v>635.51</v>
      </c>
      <c r="I322" s="1">
        <v>158.72</v>
      </c>
      <c r="J322" s="1">
        <v>3473.42</v>
      </c>
      <c r="K322" s="1">
        <v>132.66999999999999</v>
      </c>
      <c r="L322">
        <v>570</v>
      </c>
      <c r="M322" s="1">
        <v>132.66999999999999</v>
      </c>
      <c r="N322" s="1">
        <v>3621.31</v>
      </c>
      <c r="O322">
        <v>2</v>
      </c>
      <c r="P322" s="1">
        <v>6.18</v>
      </c>
      <c r="Q322">
        <v>3</v>
      </c>
      <c r="R322" s="1">
        <v>0.49</v>
      </c>
      <c r="S322">
        <v>40</v>
      </c>
      <c r="T322" s="1">
        <v>78.599999999999994</v>
      </c>
      <c r="U322" s="1">
        <v>62.62</v>
      </c>
      <c r="V322">
        <v>4</v>
      </c>
      <c r="W322" s="1">
        <v>80</v>
      </c>
      <c r="X322">
        <v>10</v>
      </c>
      <c r="Y322" s="1">
        <v>0</v>
      </c>
      <c r="Z322">
        <v>83</v>
      </c>
      <c r="AA322" s="1">
        <v>243.31</v>
      </c>
      <c r="AB322">
        <v>8</v>
      </c>
      <c r="AC322" s="1">
        <v>30.97</v>
      </c>
      <c r="AD322">
        <v>4</v>
      </c>
      <c r="AE322" s="1">
        <v>17</v>
      </c>
      <c r="AF322" s="1">
        <v>0</v>
      </c>
      <c r="AG322" s="1">
        <v>0</v>
      </c>
      <c r="AH322" s="1">
        <v>0</v>
      </c>
      <c r="AI322" s="1">
        <v>0</v>
      </c>
      <c r="AJ322" s="1">
        <v>216.31</v>
      </c>
      <c r="AL322" s="1">
        <v>3606.09</v>
      </c>
      <c r="AM322" s="1">
        <v>0</v>
      </c>
      <c r="AN322" s="1">
        <v>508</v>
      </c>
      <c r="AO322" s="1">
        <v>0</v>
      </c>
      <c r="AP322" s="1">
        <v>-15.7</v>
      </c>
      <c r="AQ322">
        <v>85</v>
      </c>
      <c r="AR322" s="1">
        <v>569.46</v>
      </c>
      <c r="AS322">
        <v>250</v>
      </c>
      <c r="AT322" s="1">
        <v>1870.2</v>
      </c>
      <c r="AU322">
        <v>17</v>
      </c>
      <c r="AV322" s="1">
        <v>133.57</v>
      </c>
      <c r="AW322">
        <v>9</v>
      </c>
      <c r="AX322" s="1">
        <v>71.58</v>
      </c>
      <c r="AY322">
        <v>68</v>
      </c>
      <c r="AZ322" s="1">
        <v>369.2</v>
      </c>
      <c r="BA322">
        <v>1</v>
      </c>
      <c r="BB322" s="1">
        <v>3.59</v>
      </c>
      <c r="BE322">
        <v>23</v>
      </c>
      <c r="BF322" s="1">
        <v>173.41</v>
      </c>
      <c r="BI322">
        <v>1</v>
      </c>
      <c r="BJ322" s="1">
        <v>26.49</v>
      </c>
      <c r="BK322">
        <v>9</v>
      </c>
      <c r="BL322" s="1">
        <v>42.36</v>
      </c>
      <c r="BP322">
        <v>6</v>
      </c>
      <c r="BQ322" s="1">
        <v>74.84</v>
      </c>
      <c r="BR322" s="1">
        <v>64.11</v>
      </c>
      <c r="CA322">
        <v>4</v>
      </c>
      <c r="CB322" s="1">
        <v>44</v>
      </c>
      <c r="CG322">
        <v>321</v>
      </c>
      <c r="CH322">
        <v>321</v>
      </c>
    </row>
    <row r="323" spans="1:86" x14ac:dyDescent="0.35">
      <c r="A323">
        <v>352613</v>
      </c>
      <c r="B323" s="2">
        <v>44225</v>
      </c>
      <c r="C323" s="2">
        <v>44225</v>
      </c>
      <c r="D323">
        <v>125</v>
      </c>
      <c r="E323">
        <v>449.15</v>
      </c>
      <c r="F323">
        <v>1851.7</v>
      </c>
      <c r="G323">
        <v>646.77</v>
      </c>
      <c r="H323">
        <v>777.09</v>
      </c>
      <c r="I323">
        <v>173.09</v>
      </c>
      <c r="J323">
        <v>3574.11</v>
      </c>
      <c r="K323">
        <v>281.90999999999997</v>
      </c>
      <c r="L323">
        <v>626</v>
      </c>
      <c r="M323">
        <v>289.76</v>
      </c>
      <c r="N323">
        <v>3719.04</v>
      </c>
      <c r="O323">
        <v>2</v>
      </c>
      <c r="P323">
        <v>19.98</v>
      </c>
      <c r="R323">
        <v>152.78</v>
      </c>
      <c r="V323">
        <v>6</v>
      </c>
      <c r="W323">
        <v>70</v>
      </c>
      <c r="X323">
        <v>0</v>
      </c>
      <c r="Y323">
        <v>0</v>
      </c>
      <c r="Z323">
        <v>103</v>
      </c>
      <c r="AA323">
        <v>264.7</v>
      </c>
      <c r="AB323">
        <v>3</v>
      </c>
      <c r="AC323">
        <v>6.44</v>
      </c>
      <c r="AD323">
        <v>11</v>
      </c>
      <c r="AE323">
        <v>12.34</v>
      </c>
      <c r="AH323">
        <v>0</v>
      </c>
      <c r="AJ323">
        <v>308.62</v>
      </c>
      <c r="AN323">
        <v>1055.31</v>
      </c>
      <c r="AO323">
        <v>0</v>
      </c>
      <c r="AP323">
        <v>-0.39000000000010004</v>
      </c>
      <c r="AQ323">
        <v>77</v>
      </c>
      <c r="AR323">
        <v>521.35</v>
      </c>
      <c r="AS323">
        <v>285</v>
      </c>
      <c r="AT323">
        <v>2083.71</v>
      </c>
      <c r="AU323">
        <v>13</v>
      </c>
      <c r="AV323">
        <v>119.66</v>
      </c>
      <c r="AW323">
        <v>3</v>
      </c>
      <c r="AX323">
        <v>12.06</v>
      </c>
      <c r="AY323">
        <v>48</v>
      </c>
      <c r="AZ323">
        <v>247.65</v>
      </c>
      <c r="BM323">
        <v>2</v>
      </c>
      <c r="BN323">
        <v>19.21</v>
      </c>
      <c r="BP323">
        <v>8</v>
      </c>
      <c r="BQ323">
        <v>123.92</v>
      </c>
      <c r="BR323">
        <v>114.75</v>
      </c>
      <c r="BS323">
        <v>3856.02</v>
      </c>
      <c r="BV323">
        <v>0</v>
      </c>
      <c r="BW323">
        <v>0</v>
      </c>
      <c r="CA323">
        <v>3</v>
      </c>
      <c r="CB323">
        <v>34.11</v>
      </c>
      <c r="CE323">
        <v>1</v>
      </c>
      <c r="CF323">
        <v>17.27</v>
      </c>
      <c r="CG323">
        <v>322</v>
      </c>
      <c r="CH323">
        <v>322</v>
      </c>
    </row>
    <row r="324" spans="1:86" x14ac:dyDescent="0.35">
      <c r="A324">
        <v>357150</v>
      </c>
      <c r="B324" s="2">
        <v>44225</v>
      </c>
      <c r="C324" s="2">
        <v>44225</v>
      </c>
      <c r="D324">
        <v>160</v>
      </c>
      <c r="E324">
        <v>609.29999999999995</v>
      </c>
      <c r="F324">
        <v>1873.0700000000002</v>
      </c>
      <c r="G324">
        <v>559.63</v>
      </c>
      <c r="H324">
        <v>565.48</v>
      </c>
      <c r="I324">
        <v>130.67999999999998</v>
      </c>
      <c r="J324">
        <v>3339.85</v>
      </c>
      <c r="K324">
        <v>162.1</v>
      </c>
      <c r="L324">
        <v>536</v>
      </c>
      <c r="M324">
        <v>163.22</v>
      </c>
      <c r="N324">
        <v>3447.96</v>
      </c>
      <c r="O324">
        <v>0</v>
      </c>
      <c r="P324">
        <v>0</v>
      </c>
      <c r="R324">
        <v>109.22999999999999</v>
      </c>
      <c r="V324">
        <v>0</v>
      </c>
      <c r="W324">
        <v>0</v>
      </c>
      <c r="X324">
        <v>0</v>
      </c>
      <c r="Y324">
        <v>0</v>
      </c>
      <c r="Z324">
        <v>44</v>
      </c>
      <c r="AA324">
        <v>123.88</v>
      </c>
      <c r="AB324">
        <v>4</v>
      </c>
      <c r="AC324">
        <v>123.29</v>
      </c>
      <c r="AD324">
        <v>10</v>
      </c>
      <c r="AE324">
        <v>23.55</v>
      </c>
      <c r="AH324">
        <v>0</v>
      </c>
      <c r="AJ324">
        <v>276.98</v>
      </c>
      <c r="AN324">
        <v>0</v>
      </c>
      <c r="AO324">
        <v>0</v>
      </c>
      <c r="AP324">
        <v>-948.76</v>
      </c>
      <c r="AQ324">
        <v>80</v>
      </c>
      <c r="AR324">
        <v>634.58000000000004</v>
      </c>
      <c r="AS324">
        <v>216</v>
      </c>
      <c r="AT324">
        <v>1651.38</v>
      </c>
      <c r="AU324">
        <v>18</v>
      </c>
      <c r="AV324">
        <v>160.04</v>
      </c>
      <c r="AW324">
        <v>7</v>
      </c>
      <c r="AX324">
        <v>76.150000000000006</v>
      </c>
      <c r="AY324">
        <v>59</v>
      </c>
      <c r="AZ324">
        <v>308.02</v>
      </c>
      <c r="BS324">
        <v>3501.95</v>
      </c>
      <c r="BV324">
        <v>0</v>
      </c>
      <c r="BW324">
        <v>0</v>
      </c>
      <c r="CG324">
        <v>323</v>
      </c>
      <c r="CH324">
        <v>323</v>
      </c>
    </row>
    <row r="325" spans="1:86" x14ac:dyDescent="0.35">
      <c r="A325">
        <v>358682</v>
      </c>
      <c r="B325" s="2">
        <v>44225</v>
      </c>
      <c r="C325" s="2">
        <v>44225</v>
      </c>
      <c r="D325">
        <v>90</v>
      </c>
      <c r="E325">
        <v>289.2</v>
      </c>
      <c r="F325">
        <v>1200.29</v>
      </c>
      <c r="G325">
        <v>272.45999999999998</v>
      </c>
      <c r="H325">
        <v>715.51</v>
      </c>
      <c r="I325">
        <v>106.5</v>
      </c>
      <c r="J325">
        <v>2304.6</v>
      </c>
      <c r="K325">
        <v>88.1</v>
      </c>
      <c r="L325">
        <v>402</v>
      </c>
      <c r="M325">
        <v>89.1</v>
      </c>
      <c r="N325">
        <v>2432.96</v>
      </c>
      <c r="O325">
        <v>1</v>
      </c>
      <c r="P325">
        <v>2.39</v>
      </c>
      <c r="R325">
        <v>129.36000000000001</v>
      </c>
      <c r="V325">
        <v>0</v>
      </c>
      <c r="W325">
        <v>0</v>
      </c>
      <c r="X325">
        <v>0</v>
      </c>
      <c r="Y325">
        <v>0</v>
      </c>
      <c r="Z325">
        <v>61</v>
      </c>
      <c r="AA325">
        <v>153.62</v>
      </c>
      <c r="AB325">
        <v>15</v>
      </c>
      <c r="AC325">
        <v>1087.9000000000001</v>
      </c>
      <c r="AD325">
        <v>36</v>
      </c>
      <c r="AE325">
        <v>54.58</v>
      </c>
      <c r="AH325">
        <v>0</v>
      </c>
      <c r="AJ325">
        <v>212.9</v>
      </c>
      <c r="AN325">
        <v>466.77</v>
      </c>
      <c r="AO325">
        <v>0</v>
      </c>
      <c r="AP325">
        <v>8.5699999999999932</v>
      </c>
      <c r="AQ325">
        <v>48</v>
      </c>
      <c r="AR325">
        <v>380.96</v>
      </c>
      <c r="AS325">
        <v>170</v>
      </c>
      <c r="AT325">
        <v>1170.5899999999999</v>
      </c>
      <c r="AU325">
        <v>26</v>
      </c>
      <c r="AV325">
        <v>184.37</v>
      </c>
      <c r="AW325">
        <v>8</v>
      </c>
      <c r="AX325">
        <v>53.85</v>
      </c>
      <c r="AY325">
        <v>51</v>
      </c>
      <c r="AZ325">
        <v>261.76</v>
      </c>
      <c r="BM325">
        <v>2</v>
      </c>
      <c r="BN325">
        <v>23.1</v>
      </c>
      <c r="BP325">
        <v>7</v>
      </c>
      <c r="BQ325">
        <v>60.95</v>
      </c>
      <c r="BR325">
        <v>39.630000000000003</v>
      </c>
      <c r="BS325">
        <v>2392.6999999999998</v>
      </c>
      <c r="BV325">
        <v>0</v>
      </c>
      <c r="BW325">
        <v>0</v>
      </c>
      <c r="CA325">
        <v>2</v>
      </c>
      <c r="CB325">
        <v>11.82</v>
      </c>
      <c r="CG325">
        <v>324</v>
      </c>
      <c r="CH325">
        <v>324</v>
      </c>
    </row>
    <row r="326" spans="1:86" x14ac:dyDescent="0.35">
      <c r="A326">
        <v>359606</v>
      </c>
      <c r="B326" s="2">
        <v>44225</v>
      </c>
      <c r="C326" s="2">
        <v>44225</v>
      </c>
      <c r="D326">
        <v>49</v>
      </c>
      <c r="E326">
        <v>169.01</v>
      </c>
      <c r="F326">
        <v>600.21</v>
      </c>
      <c r="G326">
        <v>267.2</v>
      </c>
      <c r="H326">
        <v>339.77</v>
      </c>
      <c r="I326">
        <v>54.69</v>
      </c>
      <c r="J326">
        <v>1309.82</v>
      </c>
      <c r="K326">
        <v>25.16</v>
      </c>
      <c r="L326">
        <v>225</v>
      </c>
      <c r="M326">
        <v>27.15</v>
      </c>
      <c r="N326">
        <v>1369.82</v>
      </c>
      <c r="O326">
        <v>0</v>
      </c>
      <c r="P326">
        <v>0</v>
      </c>
      <c r="R326">
        <v>61.99</v>
      </c>
      <c r="V326">
        <v>0</v>
      </c>
      <c r="W326">
        <v>0</v>
      </c>
      <c r="X326">
        <v>0</v>
      </c>
      <c r="Y326">
        <v>0</v>
      </c>
      <c r="Z326">
        <v>27</v>
      </c>
      <c r="AA326">
        <v>79.12</v>
      </c>
      <c r="AB326">
        <v>4</v>
      </c>
      <c r="AC326">
        <v>27.43</v>
      </c>
      <c r="AD326">
        <v>0</v>
      </c>
      <c r="AE326">
        <v>0</v>
      </c>
      <c r="AH326">
        <v>0</v>
      </c>
      <c r="AJ326">
        <v>118.75</v>
      </c>
      <c r="AN326">
        <v>224</v>
      </c>
      <c r="AO326">
        <v>0</v>
      </c>
      <c r="AP326">
        <v>1.3300000000000125</v>
      </c>
      <c r="AQ326">
        <v>29</v>
      </c>
      <c r="AR326">
        <v>217.99</v>
      </c>
      <c r="AS326">
        <v>111</v>
      </c>
      <c r="AT326">
        <v>679.98</v>
      </c>
      <c r="AU326">
        <v>13</v>
      </c>
      <c r="AV326">
        <v>68.34</v>
      </c>
      <c r="AW326">
        <v>1</v>
      </c>
      <c r="AX326">
        <v>11.51</v>
      </c>
      <c r="AY326">
        <v>26</v>
      </c>
      <c r="AZ326">
        <v>162.29</v>
      </c>
      <c r="BP326">
        <v>4</v>
      </c>
      <c r="BQ326">
        <v>58.41</v>
      </c>
      <c r="BR326">
        <v>53.64</v>
      </c>
      <c r="BS326">
        <v>1334.98</v>
      </c>
      <c r="BV326">
        <v>0</v>
      </c>
      <c r="BW326">
        <v>0</v>
      </c>
      <c r="CA326">
        <v>2</v>
      </c>
      <c r="CB326">
        <v>32.54</v>
      </c>
      <c r="CG326">
        <v>325</v>
      </c>
      <c r="CH326">
        <v>325</v>
      </c>
    </row>
    <row r="327" spans="1:86" x14ac:dyDescent="0.35">
      <c r="A327">
        <v>352613</v>
      </c>
      <c r="B327" s="2">
        <v>44224</v>
      </c>
      <c r="C327" s="2">
        <v>44224</v>
      </c>
      <c r="D327">
        <v>102</v>
      </c>
      <c r="E327">
        <v>353.58</v>
      </c>
      <c r="F327">
        <v>1641.0699999999997</v>
      </c>
      <c r="G327">
        <v>664.06</v>
      </c>
      <c r="H327">
        <v>670.5</v>
      </c>
      <c r="I327">
        <v>133.60999999999999</v>
      </c>
      <c r="J327">
        <v>3151.63</v>
      </c>
      <c r="K327">
        <v>191.2</v>
      </c>
      <c r="L327">
        <v>621</v>
      </c>
      <c r="M327">
        <v>198.05999999999997</v>
      </c>
      <c r="N327">
        <v>3274.62</v>
      </c>
      <c r="O327">
        <v>10</v>
      </c>
      <c r="P327">
        <v>15.82</v>
      </c>
      <c r="R327">
        <v>129.85000000000002</v>
      </c>
      <c r="V327">
        <v>0</v>
      </c>
      <c r="W327">
        <v>0</v>
      </c>
      <c r="X327">
        <v>0</v>
      </c>
      <c r="Y327">
        <v>0</v>
      </c>
      <c r="Z327">
        <v>74</v>
      </c>
      <c r="AA327">
        <v>189.64</v>
      </c>
      <c r="AB327">
        <v>5</v>
      </c>
      <c r="AC327">
        <v>18.829999999999998</v>
      </c>
      <c r="AD327">
        <v>38</v>
      </c>
      <c r="AE327">
        <v>49.79</v>
      </c>
      <c r="AH327">
        <v>0</v>
      </c>
      <c r="AJ327">
        <v>267.62</v>
      </c>
      <c r="AN327">
        <v>2079.31</v>
      </c>
      <c r="AO327">
        <v>6.16</v>
      </c>
      <c r="AP327">
        <v>1103.5</v>
      </c>
      <c r="AQ327">
        <v>74</v>
      </c>
      <c r="AR327">
        <v>497.07</v>
      </c>
      <c r="AS327">
        <v>241</v>
      </c>
      <c r="AT327">
        <v>1554.01</v>
      </c>
      <c r="AU327">
        <v>19</v>
      </c>
      <c r="AV327">
        <v>148.05000000000001</v>
      </c>
      <c r="AW327">
        <v>8</v>
      </c>
      <c r="AX327">
        <v>55.08</v>
      </c>
      <c r="AY327">
        <v>43</v>
      </c>
      <c r="AZ327">
        <v>209.2</v>
      </c>
      <c r="BP327">
        <v>7</v>
      </c>
      <c r="BQ327">
        <v>86.39</v>
      </c>
      <c r="BR327">
        <v>50.65</v>
      </c>
      <c r="BS327">
        <v>3342.83</v>
      </c>
      <c r="BV327">
        <v>7.1100000000001273</v>
      </c>
      <c r="BW327">
        <v>7.11</v>
      </c>
      <c r="CA327">
        <v>5</v>
      </c>
      <c r="CB327">
        <v>78.680000000000007</v>
      </c>
      <c r="CG327">
        <v>326</v>
      </c>
      <c r="CH327">
        <v>326</v>
      </c>
    </row>
    <row r="328" spans="1:86" x14ac:dyDescent="0.35">
      <c r="A328">
        <v>357150</v>
      </c>
      <c r="B328" s="2">
        <v>44224</v>
      </c>
      <c r="C328" s="2">
        <v>44224</v>
      </c>
      <c r="D328">
        <v>153</v>
      </c>
      <c r="E328">
        <v>576.87</v>
      </c>
      <c r="F328">
        <v>1624.46</v>
      </c>
      <c r="G328">
        <v>448.56</v>
      </c>
      <c r="H328">
        <v>491.59</v>
      </c>
      <c r="I328">
        <v>80.509999999999991</v>
      </c>
      <c r="J328">
        <v>2836.6000000000004</v>
      </c>
      <c r="K328">
        <v>250.58</v>
      </c>
      <c r="L328">
        <v>495</v>
      </c>
      <c r="M328">
        <v>258.75</v>
      </c>
      <c r="N328">
        <v>2932.2300000000005</v>
      </c>
      <c r="O328">
        <v>0</v>
      </c>
      <c r="P328">
        <v>0</v>
      </c>
      <c r="R328">
        <v>103.80000000000001</v>
      </c>
      <c r="V328">
        <v>2</v>
      </c>
      <c r="W328">
        <v>50</v>
      </c>
      <c r="X328">
        <v>0</v>
      </c>
      <c r="Y328">
        <v>0</v>
      </c>
      <c r="Z328">
        <v>45</v>
      </c>
      <c r="AA328">
        <v>144.44999999999999</v>
      </c>
      <c r="AB328">
        <v>13</v>
      </c>
      <c r="AC328">
        <v>138.41999999999999</v>
      </c>
      <c r="AD328">
        <v>36</v>
      </c>
      <c r="AE328">
        <v>43.31</v>
      </c>
      <c r="AH328">
        <v>0</v>
      </c>
      <c r="AJ328">
        <v>247.16</v>
      </c>
      <c r="AN328">
        <v>0</v>
      </c>
      <c r="AO328">
        <v>0</v>
      </c>
      <c r="AP328">
        <v>-1000.65</v>
      </c>
      <c r="AQ328">
        <v>82</v>
      </c>
      <c r="AR328">
        <v>600.14</v>
      </c>
      <c r="AS328">
        <v>193</v>
      </c>
      <c r="AT328">
        <v>1483.45</v>
      </c>
      <c r="AU328">
        <v>8</v>
      </c>
      <c r="AV328">
        <v>49.83</v>
      </c>
      <c r="AW328">
        <v>2</v>
      </c>
      <c r="AX328">
        <v>18.399999999999999</v>
      </c>
      <c r="AY328">
        <v>50</v>
      </c>
      <c r="AZ328">
        <v>231.87</v>
      </c>
      <c r="BS328">
        <v>3087.18</v>
      </c>
      <c r="BV328">
        <v>0</v>
      </c>
      <c r="BW328">
        <v>0</v>
      </c>
      <c r="CG328">
        <v>327</v>
      </c>
      <c r="CH328">
        <v>327</v>
      </c>
    </row>
    <row r="329" spans="1:86" x14ac:dyDescent="0.35">
      <c r="A329">
        <v>358682</v>
      </c>
      <c r="B329" s="2">
        <v>44224</v>
      </c>
      <c r="C329" s="2">
        <v>44224</v>
      </c>
      <c r="D329">
        <v>98</v>
      </c>
      <c r="E329">
        <v>333.02</v>
      </c>
      <c r="F329">
        <v>1165.07</v>
      </c>
      <c r="G329">
        <v>255.69</v>
      </c>
      <c r="H329">
        <v>605.29</v>
      </c>
      <c r="I329">
        <v>72.989999999999995</v>
      </c>
      <c r="J329">
        <v>2155.6499999999996</v>
      </c>
      <c r="K329">
        <v>21.560000000000002</v>
      </c>
      <c r="L329">
        <v>379</v>
      </c>
      <c r="M329">
        <v>31.35</v>
      </c>
      <c r="N329">
        <v>2259.7399999999998</v>
      </c>
      <c r="O329">
        <v>0</v>
      </c>
      <c r="P329">
        <v>0</v>
      </c>
      <c r="R329">
        <v>113.88</v>
      </c>
      <c r="V329">
        <v>4</v>
      </c>
      <c r="W329">
        <v>160</v>
      </c>
      <c r="X329">
        <v>0</v>
      </c>
      <c r="Y329">
        <v>0</v>
      </c>
      <c r="Z329">
        <v>48</v>
      </c>
      <c r="AA329">
        <v>135.53</v>
      </c>
      <c r="AB329">
        <v>11</v>
      </c>
      <c r="AC329">
        <v>88.42</v>
      </c>
      <c r="AD329">
        <v>16</v>
      </c>
      <c r="AE329">
        <v>29.05</v>
      </c>
      <c r="AH329">
        <v>0</v>
      </c>
      <c r="AJ329">
        <v>192.16</v>
      </c>
      <c r="AN329">
        <v>452.02</v>
      </c>
      <c r="AO329">
        <v>0</v>
      </c>
      <c r="AP329">
        <v>6.25</v>
      </c>
      <c r="AQ329">
        <v>56</v>
      </c>
      <c r="AR329">
        <v>421.96</v>
      </c>
      <c r="AS329">
        <v>159</v>
      </c>
      <c r="AT329">
        <v>1151.2</v>
      </c>
      <c r="AU329">
        <v>25</v>
      </c>
      <c r="AV329">
        <v>176.97</v>
      </c>
      <c r="AW329">
        <v>3</v>
      </c>
      <c r="AX329">
        <v>18.12</v>
      </c>
      <c r="AY329">
        <v>51</v>
      </c>
      <c r="AZ329">
        <v>229.56</v>
      </c>
      <c r="BP329">
        <v>4</v>
      </c>
      <c r="BQ329">
        <v>51.08</v>
      </c>
      <c r="BR329">
        <v>46.9</v>
      </c>
      <c r="BS329">
        <v>2179.8000000000002</v>
      </c>
      <c r="BV329">
        <v>-5.6400000000003274</v>
      </c>
      <c r="BW329">
        <v>-2.82</v>
      </c>
      <c r="CA329">
        <v>3</v>
      </c>
      <c r="CB329">
        <v>37.53</v>
      </c>
      <c r="CG329">
        <v>328</v>
      </c>
      <c r="CH329">
        <v>328</v>
      </c>
    </row>
    <row r="330" spans="1:86" x14ac:dyDescent="0.35">
      <c r="A330">
        <v>359606</v>
      </c>
      <c r="B330" s="2">
        <v>44224</v>
      </c>
      <c r="C330" s="2">
        <v>44224</v>
      </c>
      <c r="D330">
        <v>38</v>
      </c>
      <c r="E330">
        <v>131.82</v>
      </c>
      <c r="F330">
        <v>577.41</v>
      </c>
      <c r="G330">
        <v>202.91</v>
      </c>
      <c r="H330">
        <v>282.18</v>
      </c>
      <c r="I330">
        <v>53.08</v>
      </c>
      <c r="J330">
        <v>1096.5400000000002</v>
      </c>
      <c r="K330">
        <v>29.439999999999998</v>
      </c>
      <c r="L330">
        <v>212</v>
      </c>
      <c r="M330">
        <v>29.939999999999998</v>
      </c>
      <c r="N330">
        <v>1175.3400000000001</v>
      </c>
      <c r="O330">
        <v>0</v>
      </c>
      <c r="P330">
        <v>0</v>
      </c>
      <c r="R330">
        <v>79.300000000000011</v>
      </c>
      <c r="V330">
        <v>0</v>
      </c>
      <c r="W330">
        <v>0</v>
      </c>
      <c r="X330">
        <v>0</v>
      </c>
      <c r="Y330">
        <v>0</v>
      </c>
      <c r="Z330">
        <v>24</v>
      </c>
      <c r="AA330">
        <v>65.75</v>
      </c>
      <c r="AB330">
        <v>4</v>
      </c>
      <c r="AC330">
        <v>73.319999999999993</v>
      </c>
      <c r="AD330">
        <v>0</v>
      </c>
      <c r="AE330">
        <v>0</v>
      </c>
      <c r="AH330">
        <v>0</v>
      </c>
      <c r="AJ330">
        <v>100.17</v>
      </c>
      <c r="AN330">
        <v>422</v>
      </c>
      <c r="AO330">
        <v>0</v>
      </c>
      <c r="AP330">
        <v>225.08</v>
      </c>
      <c r="AQ330">
        <v>22</v>
      </c>
      <c r="AR330">
        <v>117.81</v>
      </c>
      <c r="AS330">
        <v>97</v>
      </c>
      <c r="AT330">
        <v>582</v>
      </c>
      <c r="AU330">
        <v>15</v>
      </c>
      <c r="AV330">
        <v>74.44</v>
      </c>
      <c r="AW330">
        <v>6</v>
      </c>
      <c r="AX330">
        <v>31.48</v>
      </c>
      <c r="AY330">
        <v>23</v>
      </c>
      <c r="AZ330">
        <v>126.85</v>
      </c>
      <c r="BP330">
        <v>2</v>
      </c>
      <c r="BQ330">
        <v>12.56</v>
      </c>
      <c r="BR330">
        <v>38.04</v>
      </c>
      <c r="BS330">
        <v>1125.98</v>
      </c>
      <c r="BV330">
        <v>0</v>
      </c>
      <c r="BW330">
        <v>0</v>
      </c>
      <c r="CA330">
        <v>6</v>
      </c>
      <c r="CB330">
        <v>84.09</v>
      </c>
      <c r="CG330">
        <v>329</v>
      </c>
      <c r="CH330">
        <v>329</v>
      </c>
    </row>
    <row r="331" spans="1:86" x14ac:dyDescent="0.35">
      <c r="A331">
        <v>350437</v>
      </c>
      <c r="B331" s="2">
        <v>44221</v>
      </c>
      <c r="C331" s="2">
        <v>44221</v>
      </c>
      <c r="D331">
        <v>85</v>
      </c>
      <c r="E331" s="1">
        <v>257.39999999999998</v>
      </c>
      <c r="F331" s="1">
        <v>1008.98</v>
      </c>
      <c r="G331" s="1">
        <v>343.73</v>
      </c>
      <c r="H331" s="1">
        <v>520.47</v>
      </c>
      <c r="I331" s="1">
        <v>61.56</v>
      </c>
      <c r="J331" s="1">
        <v>2104.06</v>
      </c>
      <c r="K331" s="1">
        <v>0</v>
      </c>
      <c r="L331">
        <v>407</v>
      </c>
      <c r="M331" s="1">
        <v>0</v>
      </c>
      <c r="N331" s="1">
        <v>2176.33</v>
      </c>
      <c r="O331">
        <v>0</v>
      </c>
      <c r="P331" s="1">
        <v>0</v>
      </c>
      <c r="Q331">
        <v>5</v>
      </c>
      <c r="R331" s="1">
        <v>3.47</v>
      </c>
      <c r="S331">
        <v>20</v>
      </c>
      <c r="T331" s="1">
        <v>54.14</v>
      </c>
      <c r="U331" s="1">
        <v>14.66</v>
      </c>
      <c r="V331">
        <v>0</v>
      </c>
      <c r="W331" s="1">
        <v>0</v>
      </c>
      <c r="X331">
        <v>11</v>
      </c>
      <c r="Y331" s="1">
        <v>0</v>
      </c>
      <c r="Z331">
        <v>54</v>
      </c>
      <c r="AA331" s="1">
        <v>135.22999999999999</v>
      </c>
      <c r="AB331">
        <v>2</v>
      </c>
      <c r="AC331" s="1">
        <v>9.99</v>
      </c>
      <c r="AD331">
        <v>3</v>
      </c>
      <c r="AE331" s="1">
        <v>4.5599999999999996</v>
      </c>
      <c r="AF331" s="1">
        <v>0</v>
      </c>
      <c r="AG331" s="1">
        <v>0</v>
      </c>
      <c r="AH331" s="1">
        <v>0</v>
      </c>
      <c r="AI331" s="1">
        <v>0</v>
      </c>
      <c r="AJ331" s="1">
        <v>187.13</v>
      </c>
      <c r="AL331" s="1">
        <v>2104.06</v>
      </c>
      <c r="AM331" s="1">
        <v>0</v>
      </c>
      <c r="AN331" s="1">
        <v>414</v>
      </c>
      <c r="AO331" s="1">
        <v>0</v>
      </c>
      <c r="AP331" s="1">
        <v>-2.12</v>
      </c>
      <c r="AQ331">
        <v>46</v>
      </c>
      <c r="AR331" s="1">
        <v>304.72000000000003</v>
      </c>
      <c r="AS331">
        <v>162</v>
      </c>
      <c r="AT331" s="1">
        <v>920.06</v>
      </c>
      <c r="AU331">
        <v>40</v>
      </c>
      <c r="AV331" s="1">
        <v>228.85</v>
      </c>
      <c r="AW331">
        <v>5</v>
      </c>
      <c r="AX331" s="1">
        <v>32.01</v>
      </c>
      <c r="AY331">
        <v>45</v>
      </c>
      <c r="AZ331" s="1">
        <v>225.26</v>
      </c>
      <c r="BA331">
        <v>1</v>
      </c>
      <c r="BB331" s="1">
        <v>9.51</v>
      </c>
      <c r="BE331">
        <v>13</v>
      </c>
      <c r="BF331" s="1">
        <v>65.290000000000006</v>
      </c>
      <c r="BG331">
        <v>3</v>
      </c>
      <c r="BH331" s="1">
        <v>20.41</v>
      </c>
      <c r="BK331">
        <v>2</v>
      </c>
      <c r="BL331" s="1">
        <v>8.25</v>
      </c>
      <c r="BZ331">
        <v>0</v>
      </c>
      <c r="CA331">
        <v>5</v>
      </c>
      <c r="CB331" s="1">
        <v>60.71</v>
      </c>
      <c r="CG331">
        <v>330</v>
      </c>
      <c r="CH331">
        <v>330</v>
      </c>
    </row>
    <row r="332" spans="1:86" x14ac:dyDescent="0.35">
      <c r="A332">
        <v>350432</v>
      </c>
      <c r="B332" s="2">
        <v>44226</v>
      </c>
      <c r="C332" s="2">
        <v>44226</v>
      </c>
      <c r="D332">
        <v>211</v>
      </c>
      <c r="E332" s="1">
        <v>695.65</v>
      </c>
      <c r="F332" s="1">
        <v>2111.35</v>
      </c>
      <c r="G332" s="1">
        <v>692.19</v>
      </c>
      <c r="H332" s="1">
        <v>1085.52</v>
      </c>
      <c r="I332" s="1">
        <v>182.28</v>
      </c>
      <c r="J332" s="1">
        <v>4405.34</v>
      </c>
      <c r="K332" s="1">
        <v>680.52</v>
      </c>
      <c r="L332">
        <v>745</v>
      </c>
      <c r="M332" s="1">
        <v>685.9</v>
      </c>
      <c r="N332" s="1">
        <v>4575.66</v>
      </c>
      <c r="O332">
        <v>2</v>
      </c>
      <c r="P332" s="1">
        <v>3.88</v>
      </c>
      <c r="Q332">
        <v>16</v>
      </c>
      <c r="R332" s="1">
        <v>5.5</v>
      </c>
      <c r="S332">
        <v>54</v>
      </c>
      <c r="T332" s="1">
        <v>101.34</v>
      </c>
      <c r="U332" s="1">
        <v>64.98</v>
      </c>
      <c r="V332">
        <v>1</v>
      </c>
      <c r="W332" s="1">
        <v>10</v>
      </c>
      <c r="X332">
        <v>19</v>
      </c>
      <c r="Y332" s="1">
        <v>0</v>
      </c>
      <c r="Z332">
        <v>191</v>
      </c>
      <c r="AA332" s="1">
        <v>547.83000000000004</v>
      </c>
      <c r="AB332">
        <v>17</v>
      </c>
      <c r="AC332" s="1">
        <v>34.47</v>
      </c>
      <c r="AD332">
        <v>1</v>
      </c>
      <c r="AE332" s="1">
        <v>13.68</v>
      </c>
      <c r="AF332" s="1">
        <v>0</v>
      </c>
      <c r="AG332" s="1">
        <v>0</v>
      </c>
      <c r="AH332" s="1">
        <v>0</v>
      </c>
      <c r="AI332" s="1">
        <v>0</v>
      </c>
      <c r="AJ332" s="1">
        <v>452.56</v>
      </c>
      <c r="AL332" s="1">
        <v>5085.8599999999997</v>
      </c>
      <c r="AM332" s="1">
        <v>0</v>
      </c>
      <c r="AN332" s="1">
        <v>873</v>
      </c>
      <c r="AO332" s="1">
        <v>0</v>
      </c>
      <c r="AP332" s="1">
        <v>6.58</v>
      </c>
      <c r="AQ332">
        <v>98</v>
      </c>
      <c r="AR332" s="1">
        <v>800.48</v>
      </c>
      <c r="AS332">
        <v>323</v>
      </c>
      <c r="AT332" s="1">
        <v>2536.96</v>
      </c>
      <c r="AU332">
        <v>33</v>
      </c>
      <c r="AV332" s="1">
        <v>242.29</v>
      </c>
      <c r="AW332">
        <v>14</v>
      </c>
      <c r="AX332" s="1">
        <v>100.68</v>
      </c>
      <c r="AY332">
        <v>66</v>
      </c>
      <c r="AZ332" s="1">
        <v>404.48</v>
      </c>
      <c r="BC332">
        <v>4</v>
      </c>
      <c r="BD332" s="1">
        <v>27.53</v>
      </c>
      <c r="BE332">
        <v>8</v>
      </c>
      <c r="BF332" s="1">
        <v>52.98</v>
      </c>
      <c r="BG332">
        <v>4</v>
      </c>
      <c r="BH332" s="1">
        <v>19.37</v>
      </c>
      <c r="BK332">
        <v>12</v>
      </c>
      <c r="BL332" s="1">
        <v>108.65</v>
      </c>
      <c r="BM332">
        <v>2</v>
      </c>
      <c r="BN332" s="1">
        <v>11.65</v>
      </c>
      <c r="BO332" s="1">
        <v>10.7</v>
      </c>
      <c r="BP332">
        <v>21</v>
      </c>
      <c r="BQ332" s="1">
        <v>294.99</v>
      </c>
      <c r="BR332" s="1">
        <v>242.75</v>
      </c>
      <c r="CA332">
        <v>8</v>
      </c>
      <c r="CB332" s="1">
        <v>81.94</v>
      </c>
      <c r="CG332">
        <v>331</v>
      </c>
      <c r="CH332">
        <v>331</v>
      </c>
    </row>
    <row r="333" spans="1:86" x14ac:dyDescent="0.35">
      <c r="A333">
        <v>350437</v>
      </c>
      <c r="B333" s="2">
        <v>44226</v>
      </c>
      <c r="C333" s="2">
        <v>44226</v>
      </c>
      <c r="D333">
        <v>117</v>
      </c>
      <c r="E333" s="1">
        <v>403.13</v>
      </c>
      <c r="F333" s="1">
        <v>1399.44</v>
      </c>
      <c r="G333" s="1">
        <v>793.66</v>
      </c>
      <c r="H333" s="1">
        <v>758.72</v>
      </c>
      <c r="I333" s="1">
        <v>82.77</v>
      </c>
      <c r="J333" s="1">
        <v>3225.66</v>
      </c>
      <c r="K333" s="1">
        <v>0</v>
      </c>
      <c r="L333">
        <v>485</v>
      </c>
      <c r="M333" s="1">
        <v>0</v>
      </c>
      <c r="N333" s="1">
        <v>3310.66</v>
      </c>
      <c r="O333">
        <v>1</v>
      </c>
      <c r="P333" s="1">
        <v>5.49</v>
      </c>
      <c r="Q333">
        <v>11</v>
      </c>
      <c r="R333" s="1">
        <v>6.24</v>
      </c>
      <c r="S333">
        <v>23</v>
      </c>
      <c r="T333" s="1">
        <v>32.99</v>
      </c>
      <c r="U333" s="1">
        <v>40.28</v>
      </c>
      <c r="V333">
        <v>2</v>
      </c>
      <c r="W333" s="1">
        <v>25</v>
      </c>
      <c r="X333">
        <v>16</v>
      </c>
      <c r="Y333" s="1">
        <v>0</v>
      </c>
      <c r="Z333">
        <v>77</v>
      </c>
      <c r="AA333" s="1">
        <v>262.32</v>
      </c>
      <c r="AB333">
        <v>18</v>
      </c>
      <c r="AC333" s="1">
        <v>41.94</v>
      </c>
      <c r="AD333">
        <v>4</v>
      </c>
      <c r="AE333" s="1">
        <v>9.43</v>
      </c>
      <c r="AF333" s="1">
        <v>0</v>
      </c>
      <c r="AG333" s="1">
        <v>0</v>
      </c>
      <c r="AH333" s="1">
        <v>0</v>
      </c>
      <c r="AI333" s="1">
        <v>0</v>
      </c>
      <c r="AJ333" s="1">
        <v>286.99</v>
      </c>
      <c r="AL333" s="1">
        <v>3225.66</v>
      </c>
      <c r="AM333" s="1">
        <v>0</v>
      </c>
      <c r="AN333" s="1">
        <v>504</v>
      </c>
      <c r="AO333" s="1">
        <v>0</v>
      </c>
      <c r="AP333" s="1">
        <v>4.8600000000000003</v>
      </c>
      <c r="AQ333">
        <v>62</v>
      </c>
      <c r="AR333" s="1">
        <v>458.02</v>
      </c>
      <c r="AS333">
        <v>214</v>
      </c>
      <c r="AT333" s="1">
        <v>1485.48</v>
      </c>
      <c r="AU333">
        <v>57</v>
      </c>
      <c r="AV333" s="1">
        <v>555.07000000000005</v>
      </c>
      <c r="AW333">
        <v>4</v>
      </c>
      <c r="AX333" s="1">
        <v>36.409999999999997</v>
      </c>
      <c r="AY333">
        <v>57</v>
      </c>
      <c r="AZ333" s="1">
        <v>370.86</v>
      </c>
      <c r="BP333">
        <v>4</v>
      </c>
      <c r="BQ333" s="1">
        <v>50.73</v>
      </c>
      <c r="BR333" s="1">
        <v>46.59</v>
      </c>
      <c r="CA333">
        <v>5</v>
      </c>
      <c r="CB333" s="1">
        <v>81.94</v>
      </c>
      <c r="CG333">
        <v>332</v>
      </c>
      <c r="CH333">
        <v>332</v>
      </c>
    </row>
    <row r="334" spans="1:86" x14ac:dyDescent="0.35">
      <c r="A334">
        <v>351323</v>
      </c>
      <c r="B334" s="2">
        <v>44226</v>
      </c>
      <c r="C334" s="2">
        <v>44226</v>
      </c>
      <c r="D334">
        <v>176</v>
      </c>
      <c r="E334" s="1">
        <v>637.47</v>
      </c>
      <c r="F334" s="1">
        <v>1871.29</v>
      </c>
      <c r="G334" s="1">
        <v>667.2</v>
      </c>
      <c r="H334" s="1">
        <v>877.42</v>
      </c>
      <c r="I334" s="1">
        <v>122.14</v>
      </c>
      <c r="J334" s="1">
        <v>3732.82</v>
      </c>
      <c r="K334" s="1">
        <v>455.57</v>
      </c>
      <c r="L334">
        <v>637</v>
      </c>
      <c r="M334" s="1">
        <v>466.95</v>
      </c>
      <c r="N334" s="1">
        <v>3852.17</v>
      </c>
      <c r="O334">
        <v>1</v>
      </c>
      <c r="P334" s="1">
        <v>5.18</v>
      </c>
      <c r="Q334">
        <v>3</v>
      </c>
      <c r="R334" s="1">
        <v>7.44</v>
      </c>
      <c r="S334">
        <v>40</v>
      </c>
      <c r="T334" s="1">
        <v>65.13</v>
      </c>
      <c r="U334" s="1">
        <v>52.98</v>
      </c>
      <c r="V334">
        <v>1</v>
      </c>
      <c r="W334" s="1">
        <v>10</v>
      </c>
      <c r="X334">
        <v>8</v>
      </c>
      <c r="Y334" s="1">
        <v>0</v>
      </c>
      <c r="Z334">
        <v>118</v>
      </c>
      <c r="AA334" s="1">
        <v>392.86</v>
      </c>
      <c r="AB334">
        <v>12</v>
      </c>
      <c r="AC334" s="1">
        <v>65.040000000000006</v>
      </c>
      <c r="AD334">
        <v>5</v>
      </c>
      <c r="AE334" s="1">
        <v>0</v>
      </c>
      <c r="AF334" s="1">
        <v>0</v>
      </c>
      <c r="AG334" s="1">
        <v>0</v>
      </c>
      <c r="AH334" s="1">
        <v>0</v>
      </c>
      <c r="AI334" s="1">
        <v>0</v>
      </c>
      <c r="AJ334" s="1">
        <v>251.24</v>
      </c>
      <c r="AL334" s="1">
        <v>4188.3900000000003</v>
      </c>
      <c r="AM334" s="1">
        <v>0</v>
      </c>
      <c r="AN334" s="1">
        <v>865</v>
      </c>
      <c r="AO334" s="1">
        <v>0</v>
      </c>
      <c r="AP334" s="1">
        <v>-7.59</v>
      </c>
      <c r="AQ334">
        <v>107</v>
      </c>
      <c r="AR334" s="1">
        <v>820.24</v>
      </c>
      <c r="AS334">
        <v>260</v>
      </c>
      <c r="AT334" s="1">
        <v>2033.89</v>
      </c>
      <c r="AU334">
        <v>15</v>
      </c>
      <c r="AV334" s="1">
        <v>131.21</v>
      </c>
      <c r="AW334">
        <v>13</v>
      </c>
      <c r="AX334" s="1">
        <v>100.27</v>
      </c>
      <c r="AY334">
        <v>52</v>
      </c>
      <c r="AZ334" s="1">
        <v>253.1</v>
      </c>
      <c r="BA334">
        <v>1</v>
      </c>
      <c r="BB334" s="1">
        <v>9.2799999999999994</v>
      </c>
      <c r="BC334">
        <v>1</v>
      </c>
      <c r="BD334" s="1">
        <v>3.78</v>
      </c>
      <c r="BE334">
        <v>11</v>
      </c>
      <c r="BF334" s="1">
        <v>107.26</v>
      </c>
      <c r="BG334">
        <v>1</v>
      </c>
      <c r="BH334" s="1">
        <v>8.67</v>
      </c>
      <c r="BK334">
        <v>5</v>
      </c>
      <c r="BL334" s="1">
        <v>39.93</v>
      </c>
      <c r="BM334">
        <v>1</v>
      </c>
      <c r="BN334" s="1">
        <v>6.64</v>
      </c>
      <c r="BO334" s="1">
        <v>6.26</v>
      </c>
      <c r="BP334">
        <v>5</v>
      </c>
      <c r="BQ334" s="1">
        <v>56.56</v>
      </c>
      <c r="BR334" s="1">
        <v>44.68</v>
      </c>
      <c r="CA334">
        <v>1</v>
      </c>
      <c r="CB334" s="1">
        <v>6.21</v>
      </c>
      <c r="CG334">
        <v>333</v>
      </c>
      <c r="CH334">
        <v>333</v>
      </c>
    </row>
    <row r="335" spans="1:86" x14ac:dyDescent="0.35">
      <c r="A335">
        <v>353927</v>
      </c>
      <c r="B335" s="2">
        <v>44226</v>
      </c>
      <c r="C335" s="2">
        <v>44226</v>
      </c>
      <c r="D335">
        <v>141</v>
      </c>
      <c r="E335" s="1">
        <v>455.49</v>
      </c>
      <c r="F335" s="1">
        <v>1580.16</v>
      </c>
      <c r="G335" s="1">
        <v>714.48</v>
      </c>
      <c r="H335" s="1">
        <v>748.51</v>
      </c>
      <c r="I335" s="1">
        <v>108.48</v>
      </c>
      <c r="J335" s="1">
        <v>3301.55</v>
      </c>
      <c r="K335" s="1">
        <v>0</v>
      </c>
      <c r="L335">
        <v>515</v>
      </c>
      <c r="M335" s="1">
        <v>0</v>
      </c>
      <c r="N335" s="1">
        <v>3448.75</v>
      </c>
      <c r="O335">
        <v>0</v>
      </c>
      <c r="P335" s="1">
        <v>0</v>
      </c>
      <c r="Q335">
        <v>4</v>
      </c>
      <c r="R335" s="1">
        <v>2.4900000000000002</v>
      </c>
      <c r="S335">
        <v>52</v>
      </c>
      <c r="T335" s="1">
        <v>95.17</v>
      </c>
      <c r="U335" s="1">
        <v>49.54</v>
      </c>
      <c r="V335">
        <v>2</v>
      </c>
      <c r="W335" s="1">
        <v>30</v>
      </c>
      <c r="X335">
        <v>6</v>
      </c>
      <c r="Y335" s="1">
        <v>0</v>
      </c>
      <c r="Z335">
        <v>112</v>
      </c>
      <c r="AA335" s="1">
        <v>310.95999999999998</v>
      </c>
      <c r="AB335">
        <v>7</v>
      </c>
      <c r="AC335" s="1">
        <v>24.29</v>
      </c>
      <c r="AD335">
        <v>6</v>
      </c>
      <c r="AE335" s="1">
        <v>15.48</v>
      </c>
      <c r="AF335" s="1">
        <v>0</v>
      </c>
      <c r="AG335" s="1">
        <v>0</v>
      </c>
      <c r="AH335" s="1">
        <v>0</v>
      </c>
      <c r="AI335" s="1">
        <v>0</v>
      </c>
      <c r="AJ335" s="1">
        <v>198.02</v>
      </c>
      <c r="AL335" s="1">
        <v>3301.55</v>
      </c>
      <c r="AM335" s="1">
        <v>0</v>
      </c>
      <c r="AN335" s="1">
        <v>832</v>
      </c>
      <c r="AO335" s="1">
        <v>0</v>
      </c>
      <c r="AP335" s="1">
        <v>17.72</v>
      </c>
      <c r="AQ335">
        <v>82</v>
      </c>
      <c r="AR335" s="1">
        <v>590.80999999999995</v>
      </c>
      <c r="AS335">
        <v>219</v>
      </c>
      <c r="AT335" s="1">
        <v>1606.68</v>
      </c>
      <c r="AU335">
        <v>7</v>
      </c>
      <c r="AV335" s="1">
        <v>55.93</v>
      </c>
      <c r="AW335">
        <v>4</v>
      </c>
      <c r="AX335" s="1">
        <v>19.22</v>
      </c>
      <c r="AY335">
        <v>40</v>
      </c>
      <c r="AZ335" s="1">
        <v>184.91</v>
      </c>
      <c r="BE335">
        <v>10</v>
      </c>
      <c r="BF335" s="1">
        <v>103.92</v>
      </c>
      <c r="BG335">
        <v>1</v>
      </c>
      <c r="BH335" s="1">
        <v>2.85</v>
      </c>
      <c r="BK335">
        <v>6</v>
      </c>
      <c r="BL335" s="1">
        <v>37.89</v>
      </c>
      <c r="BP335">
        <v>4</v>
      </c>
      <c r="BQ335" s="1">
        <v>61.16</v>
      </c>
      <c r="BR335" s="1">
        <v>46.54</v>
      </c>
      <c r="CA335">
        <v>4</v>
      </c>
      <c r="CB335" s="1">
        <v>51.92</v>
      </c>
      <c r="CG335">
        <v>334</v>
      </c>
      <c r="CH335">
        <v>334</v>
      </c>
    </row>
    <row r="336" spans="1:86" x14ac:dyDescent="0.35">
      <c r="A336">
        <v>354030</v>
      </c>
      <c r="B336" s="2">
        <v>44226</v>
      </c>
      <c r="C336" s="2">
        <v>44226</v>
      </c>
      <c r="D336">
        <v>172</v>
      </c>
      <c r="E336" s="1">
        <v>614.52</v>
      </c>
      <c r="F336" s="1">
        <v>1627.14</v>
      </c>
      <c r="G336" s="1">
        <v>1259.68</v>
      </c>
      <c r="H336" s="1">
        <v>761.87</v>
      </c>
      <c r="I336" s="1">
        <v>106.8</v>
      </c>
      <c r="J336" s="1">
        <v>3914.16</v>
      </c>
      <c r="K336" s="1">
        <v>375.4</v>
      </c>
      <c r="L336">
        <v>551</v>
      </c>
      <c r="M336" s="1">
        <v>379.78</v>
      </c>
      <c r="N336" s="1">
        <v>4052.69</v>
      </c>
      <c r="O336">
        <v>0</v>
      </c>
      <c r="P336" s="1">
        <v>0</v>
      </c>
      <c r="Q336">
        <v>2</v>
      </c>
      <c r="R336" s="1">
        <v>0.4</v>
      </c>
      <c r="S336">
        <v>43</v>
      </c>
      <c r="T336" s="1">
        <v>84.05</v>
      </c>
      <c r="U336" s="1">
        <v>58.46</v>
      </c>
      <c r="V336">
        <v>1</v>
      </c>
      <c r="W336" s="1">
        <v>10</v>
      </c>
      <c r="X336">
        <v>11</v>
      </c>
      <c r="Y336" s="1">
        <v>0</v>
      </c>
      <c r="Z336">
        <v>98</v>
      </c>
      <c r="AA336" s="1">
        <v>445</v>
      </c>
      <c r="AB336">
        <v>6</v>
      </c>
      <c r="AC336" s="1">
        <v>31.34</v>
      </c>
      <c r="AD336">
        <v>4</v>
      </c>
      <c r="AE336" s="1">
        <v>15.4</v>
      </c>
      <c r="AF336" s="1">
        <v>0</v>
      </c>
      <c r="AG336" s="1">
        <v>0</v>
      </c>
      <c r="AH336" s="1">
        <v>0</v>
      </c>
      <c r="AI336" s="1">
        <v>0</v>
      </c>
      <c r="AJ336" s="1">
        <v>257.27999999999997</v>
      </c>
      <c r="AL336" s="1">
        <v>4289.5600000000004</v>
      </c>
      <c r="AM336" s="1">
        <v>0</v>
      </c>
      <c r="AN336" s="1">
        <v>569</v>
      </c>
      <c r="AO336" s="1">
        <v>0</v>
      </c>
      <c r="AP336" s="1">
        <v>-3.91</v>
      </c>
      <c r="AQ336">
        <v>75</v>
      </c>
      <c r="AR336" s="1">
        <v>657.94</v>
      </c>
      <c r="AS336">
        <v>241</v>
      </c>
      <c r="AT336" s="1">
        <v>2177.16</v>
      </c>
      <c r="AU336">
        <v>23</v>
      </c>
      <c r="AV336" s="1">
        <v>178.91</v>
      </c>
      <c r="AW336">
        <v>9</v>
      </c>
      <c r="AX336" s="1">
        <v>90.73</v>
      </c>
      <c r="AY336">
        <v>65</v>
      </c>
      <c r="AZ336" s="1">
        <v>414.43</v>
      </c>
      <c r="BA336">
        <v>1</v>
      </c>
      <c r="BB336" s="1">
        <v>3.91</v>
      </c>
      <c r="BC336">
        <v>3</v>
      </c>
      <c r="BD336" s="1">
        <v>26.26</v>
      </c>
      <c r="BE336">
        <v>11</v>
      </c>
      <c r="BF336" s="1">
        <v>63.72</v>
      </c>
      <c r="BG336">
        <v>2</v>
      </c>
      <c r="BH336" s="1">
        <v>26.84</v>
      </c>
      <c r="BI336">
        <v>1</v>
      </c>
      <c r="BJ336" s="1">
        <v>40.270000000000003</v>
      </c>
      <c r="BK336">
        <v>10</v>
      </c>
      <c r="BL336" s="1">
        <v>90.06</v>
      </c>
      <c r="BP336">
        <v>7</v>
      </c>
      <c r="BQ336" s="1">
        <v>113.76</v>
      </c>
      <c r="BR336" s="1">
        <v>102.05</v>
      </c>
      <c r="CA336">
        <v>6</v>
      </c>
      <c r="CB336" s="1">
        <v>99.94</v>
      </c>
      <c r="CG336">
        <v>335</v>
      </c>
      <c r="CH336">
        <v>335</v>
      </c>
    </row>
    <row r="337" spans="1:86" x14ac:dyDescent="0.35">
      <c r="A337">
        <v>352613</v>
      </c>
      <c r="B337" s="2">
        <v>44226</v>
      </c>
      <c r="C337" s="2">
        <v>44226</v>
      </c>
      <c r="D337">
        <v>145</v>
      </c>
      <c r="E337">
        <v>508.25</v>
      </c>
      <c r="F337">
        <v>1883.32</v>
      </c>
      <c r="G337">
        <v>831.55</v>
      </c>
      <c r="H337">
        <v>731.67</v>
      </c>
      <c r="I337">
        <v>148.47</v>
      </c>
      <c r="J337">
        <v>3799.4299999999994</v>
      </c>
      <c r="K337">
        <v>336.77000000000004</v>
      </c>
      <c r="L337">
        <v>644</v>
      </c>
      <c r="M337">
        <v>338.55</v>
      </c>
      <c r="N337">
        <v>3913.0599999999995</v>
      </c>
      <c r="O337">
        <v>5</v>
      </c>
      <c r="P337">
        <v>7.88</v>
      </c>
      <c r="R337">
        <v>115.41</v>
      </c>
      <c r="V337">
        <v>2</v>
      </c>
      <c r="W337">
        <v>60</v>
      </c>
      <c r="X337">
        <v>0</v>
      </c>
      <c r="Y337">
        <v>0</v>
      </c>
      <c r="Z337">
        <v>115</v>
      </c>
      <c r="AA337">
        <v>777</v>
      </c>
      <c r="AB337">
        <v>5</v>
      </c>
      <c r="AC337">
        <v>11.19</v>
      </c>
      <c r="AD337">
        <v>37</v>
      </c>
      <c r="AE337">
        <v>45.99</v>
      </c>
      <c r="AG337">
        <v>1</v>
      </c>
      <c r="AH337">
        <v>0</v>
      </c>
      <c r="AJ337">
        <v>331.12</v>
      </c>
      <c r="AN337">
        <v>1254</v>
      </c>
      <c r="AO337">
        <v>5.38</v>
      </c>
      <c r="AP337">
        <v>-6.1499999999998636</v>
      </c>
      <c r="AQ337">
        <v>88</v>
      </c>
      <c r="AR337">
        <v>769.2</v>
      </c>
      <c r="AS337">
        <v>245</v>
      </c>
      <c r="AT337">
        <v>1701.11</v>
      </c>
      <c r="AU337">
        <v>18</v>
      </c>
      <c r="AV337">
        <v>143.16</v>
      </c>
      <c r="AW337">
        <v>4</v>
      </c>
      <c r="AX337">
        <v>40.15</v>
      </c>
      <c r="AY337">
        <v>52</v>
      </c>
      <c r="AZ337">
        <v>285.97000000000003</v>
      </c>
      <c r="BP337">
        <v>11</v>
      </c>
      <c r="BQ337">
        <v>180.47</v>
      </c>
      <c r="BR337">
        <v>134.57</v>
      </c>
      <c r="BS337">
        <v>4130.8599999999997</v>
      </c>
      <c r="BV337">
        <v>4.9600000000000364</v>
      </c>
      <c r="BW337">
        <v>0</v>
      </c>
      <c r="CA337">
        <v>10</v>
      </c>
      <c r="CB337">
        <v>137.77000000000001</v>
      </c>
      <c r="CG337">
        <v>336</v>
      </c>
      <c r="CH337">
        <v>336</v>
      </c>
    </row>
    <row r="338" spans="1:86" x14ac:dyDescent="0.35">
      <c r="A338">
        <v>357150</v>
      </c>
      <c r="B338" s="2">
        <v>44226</v>
      </c>
      <c r="C338" s="2">
        <v>44226</v>
      </c>
      <c r="D338">
        <v>182</v>
      </c>
      <c r="E338">
        <v>690.18000000000006</v>
      </c>
      <c r="F338">
        <v>1863.05</v>
      </c>
      <c r="G338">
        <v>526.41999999999996</v>
      </c>
      <c r="H338">
        <v>558.17999999999995</v>
      </c>
      <c r="I338">
        <v>103.18</v>
      </c>
      <c r="J338">
        <v>3273.0099999999998</v>
      </c>
      <c r="K338">
        <v>262.48</v>
      </c>
      <c r="L338">
        <v>488</v>
      </c>
      <c r="M338">
        <v>262.48</v>
      </c>
      <c r="N338">
        <v>3383.7599999999998</v>
      </c>
      <c r="O338">
        <v>0</v>
      </c>
      <c r="P338">
        <v>0</v>
      </c>
      <c r="R338">
        <v>110.75</v>
      </c>
      <c r="V338">
        <v>1</v>
      </c>
      <c r="W338">
        <v>25</v>
      </c>
      <c r="X338">
        <v>0</v>
      </c>
      <c r="Y338">
        <v>0</v>
      </c>
      <c r="Z338">
        <v>45</v>
      </c>
      <c r="AA338">
        <v>206.94</v>
      </c>
      <c r="AB338">
        <v>2</v>
      </c>
      <c r="AC338">
        <v>26.41</v>
      </c>
      <c r="AD338">
        <v>19</v>
      </c>
      <c r="AE338">
        <v>118.5</v>
      </c>
      <c r="AH338">
        <v>0</v>
      </c>
      <c r="AJ338">
        <v>282.99</v>
      </c>
      <c r="AN338">
        <v>0</v>
      </c>
      <c r="AO338">
        <v>0</v>
      </c>
      <c r="AP338">
        <v>-1185.97</v>
      </c>
      <c r="AQ338">
        <v>83</v>
      </c>
      <c r="AR338">
        <v>791.93</v>
      </c>
      <c r="AS338">
        <v>179</v>
      </c>
      <c r="AT338">
        <v>1504.1</v>
      </c>
      <c r="AU338">
        <v>8</v>
      </c>
      <c r="AV338">
        <v>84.65</v>
      </c>
      <c r="AW338">
        <v>1</v>
      </c>
      <c r="AX338">
        <v>4.5</v>
      </c>
      <c r="AY338">
        <v>49</v>
      </c>
      <c r="AZ338">
        <v>272.33</v>
      </c>
      <c r="BS338">
        <v>3535.49</v>
      </c>
      <c r="BV338">
        <v>0</v>
      </c>
      <c r="BW338">
        <v>0</v>
      </c>
      <c r="CG338">
        <v>337</v>
      </c>
      <c r="CH338">
        <v>337</v>
      </c>
    </row>
    <row r="339" spans="1:86" x14ac:dyDescent="0.35">
      <c r="A339">
        <v>358682</v>
      </c>
      <c r="B339" s="2">
        <v>44226</v>
      </c>
      <c r="C339" s="2">
        <v>44226</v>
      </c>
      <c r="D339">
        <v>76</v>
      </c>
      <c r="E339">
        <v>243.64</v>
      </c>
      <c r="F339">
        <v>896.14</v>
      </c>
      <c r="G339">
        <v>234.65</v>
      </c>
      <c r="H339">
        <v>607.66</v>
      </c>
      <c r="I339">
        <v>64.430000000000007</v>
      </c>
      <c r="J339">
        <v>1887.27</v>
      </c>
      <c r="K339">
        <v>79.11</v>
      </c>
      <c r="L339">
        <v>290</v>
      </c>
      <c r="M339">
        <v>84.4</v>
      </c>
      <c r="N339">
        <v>1958.57</v>
      </c>
      <c r="O339">
        <v>0</v>
      </c>
      <c r="P339">
        <v>0</v>
      </c>
      <c r="R339">
        <v>76.59</v>
      </c>
      <c r="V339">
        <v>1</v>
      </c>
      <c r="W339">
        <v>20</v>
      </c>
      <c r="X339">
        <v>0</v>
      </c>
      <c r="Y339">
        <v>0</v>
      </c>
      <c r="Z339">
        <v>39</v>
      </c>
      <c r="AA339">
        <v>105.65</v>
      </c>
      <c r="AB339">
        <v>3</v>
      </c>
      <c r="AC339">
        <v>23.03</v>
      </c>
      <c r="AD339">
        <v>3</v>
      </c>
      <c r="AE339">
        <v>5.34</v>
      </c>
      <c r="AH339">
        <v>0</v>
      </c>
      <c r="AJ339">
        <v>174.93</v>
      </c>
      <c r="AN339">
        <v>306.05</v>
      </c>
      <c r="AO339">
        <v>32.619999999999997</v>
      </c>
      <c r="AP339">
        <v>2.3300000000000409</v>
      </c>
      <c r="AQ339">
        <v>45</v>
      </c>
      <c r="AR339">
        <v>354.08</v>
      </c>
      <c r="AS339">
        <v>124</v>
      </c>
      <c r="AT339">
        <v>963.71</v>
      </c>
      <c r="AU339">
        <v>24</v>
      </c>
      <c r="AV339">
        <v>196.63</v>
      </c>
      <c r="AW339">
        <v>4</v>
      </c>
      <c r="AX339">
        <v>31.3</v>
      </c>
      <c r="AY339">
        <v>38</v>
      </c>
      <c r="AZ339">
        <v>215.05</v>
      </c>
      <c r="BP339">
        <v>5</v>
      </c>
      <c r="BQ339">
        <v>64.2</v>
      </c>
      <c r="BR339">
        <v>58.96</v>
      </c>
      <c r="BS339">
        <v>1966.38</v>
      </c>
      <c r="BV339">
        <v>0</v>
      </c>
      <c r="BW339">
        <v>0</v>
      </c>
      <c r="CG339">
        <v>338</v>
      </c>
      <c r="CH339">
        <v>338</v>
      </c>
    </row>
    <row r="340" spans="1:86" x14ac:dyDescent="0.35">
      <c r="A340">
        <v>359606</v>
      </c>
      <c r="B340" s="2">
        <v>44226</v>
      </c>
      <c r="C340" s="2">
        <v>44226</v>
      </c>
      <c r="D340">
        <v>64</v>
      </c>
      <c r="E340">
        <v>222.66</v>
      </c>
      <c r="F340">
        <v>797.03</v>
      </c>
      <c r="G340">
        <v>248.65</v>
      </c>
      <c r="H340">
        <v>471</v>
      </c>
      <c r="I340">
        <v>42.93</v>
      </c>
      <c r="J340">
        <v>1628.38</v>
      </c>
      <c r="K340">
        <v>71.650000000000006</v>
      </c>
      <c r="L340">
        <v>277</v>
      </c>
      <c r="M340">
        <v>73.64</v>
      </c>
      <c r="N340">
        <v>1692.13</v>
      </c>
      <c r="O340">
        <v>0</v>
      </c>
      <c r="P340">
        <v>0</v>
      </c>
      <c r="R340">
        <v>65.739999999999995</v>
      </c>
      <c r="V340">
        <v>0</v>
      </c>
      <c r="W340">
        <v>0</v>
      </c>
      <c r="X340">
        <v>0</v>
      </c>
      <c r="Y340">
        <v>0</v>
      </c>
      <c r="Z340">
        <v>32</v>
      </c>
      <c r="AA340">
        <v>100.77</v>
      </c>
      <c r="AB340">
        <v>5</v>
      </c>
      <c r="AC340">
        <v>95.64</v>
      </c>
      <c r="AD340">
        <v>0</v>
      </c>
      <c r="AE340">
        <v>0</v>
      </c>
      <c r="AH340">
        <v>0</v>
      </c>
      <c r="AJ340">
        <v>151.28</v>
      </c>
      <c r="AN340">
        <v>205.35</v>
      </c>
      <c r="AO340">
        <v>0</v>
      </c>
      <c r="AP340">
        <v>1.460000000000008</v>
      </c>
      <c r="AQ340">
        <v>33</v>
      </c>
      <c r="AR340">
        <v>292.37</v>
      </c>
      <c r="AS340">
        <v>137</v>
      </c>
      <c r="AT340">
        <v>923.77</v>
      </c>
      <c r="AU340">
        <v>20</v>
      </c>
      <c r="AV340">
        <v>104.84</v>
      </c>
      <c r="AW340">
        <v>4</v>
      </c>
      <c r="AX340">
        <v>29.75</v>
      </c>
      <c r="AY340">
        <v>34</v>
      </c>
      <c r="AZ340">
        <v>186.85</v>
      </c>
      <c r="BP340">
        <v>3</v>
      </c>
      <c r="BQ340">
        <v>49.45</v>
      </c>
      <c r="BR340">
        <v>45.42</v>
      </c>
      <c r="BS340">
        <v>1700.03</v>
      </c>
      <c r="BV340">
        <v>0</v>
      </c>
      <c r="BW340">
        <v>0</v>
      </c>
      <c r="CA340">
        <v>4</v>
      </c>
      <c r="CB340">
        <v>60.39</v>
      </c>
      <c r="CG340">
        <v>339</v>
      </c>
      <c r="CH340">
        <v>339</v>
      </c>
    </row>
    <row r="341" spans="1:86" x14ac:dyDescent="0.35">
      <c r="A341">
        <v>352613</v>
      </c>
      <c r="B341" s="2">
        <v>44220</v>
      </c>
      <c r="C341" s="2">
        <v>44226</v>
      </c>
      <c r="D341">
        <v>754</v>
      </c>
      <c r="E341">
        <v>2589.7600000000002</v>
      </c>
      <c r="F341">
        <v>11529.849999999999</v>
      </c>
      <c r="G341">
        <v>4163.76</v>
      </c>
      <c r="H341">
        <v>4915.9399999999996</v>
      </c>
      <c r="I341">
        <v>1008.26</v>
      </c>
      <c r="J341">
        <v>22423.250000000004</v>
      </c>
      <c r="K341">
        <v>2025.3099999999997</v>
      </c>
      <c r="L341">
        <v>4169</v>
      </c>
      <c r="M341">
        <v>2056.1999999999998</v>
      </c>
      <c r="N341">
        <v>23321.500000000004</v>
      </c>
      <c r="O341">
        <v>33</v>
      </c>
      <c r="P341">
        <v>71.16</v>
      </c>
      <c r="R341">
        <v>929.14</v>
      </c>
      <c r="V341">
        <v>12</v>
      </c>
      <c r="W341">
        <v>185</v>
      </c>
      <c r="X341">
        <v>0</v>
      </c>
      <c r="Y341">
        <v>0</v>
      </c>
      <c r="Z341">
        <v>641</v>
      </c>
      <c r="AA341">
        <v>1912.52</v>
      </c>
      <c r="AB341">
        <v>26</v>
      </c>
      <c r="AC341">
        <v>104.2</v>
      </c>
      <c r="AD341">
        <v>308</v>
      </c>
      <c r="AE341">
        <v>456.5</v>
      </c>
      <c r="AG341">
        <v>1</v>
      </c>
      <c r="AH341">
        <v>0</v>
      </c>
      <c r="AJ341">
        <v>1957.61</v>
      </c>
      <c r="AN341">
        <v>6919.31</v>
      </c>
      <c r="AO341">
        <v>15.84</v>
      </c>
      <c r="AP341">
        <v>-31.199999999999818</v>
      </c>
      <c r="AQ341">
        <v>515</v>
      </c>
      <c r="AR341">
        <v>3744.86</v>
      </c>
      <c r="AS341">
        <v>1720</v>
      </c>
      <c r="AT341">
        <v>11738.13</v>
      </c>
      <c r="AU341">
        <v>107</v>
      </c>
      <c r="AV341">
        <v>787.72</v>
      </c>
      <c r="AW341">
        <v>34</v>
      </c>
      <c r="AX341">
        <v>226.76</v>
      </c>
      <c r="AY341">
        <v>345</v>
      </c>
      <c r="AZ341">
        <v>1719.25</v>
      </c>
      <c r="BM341">
        <v>3</v>
      </c>
      <c r="BN341">
        <v>33.729999999999997</v>
      </c>
      <c r="BP341">
        <v>49</v>
      </c>
      <c r="BQ341">
        <v>651.76</v>
      </c>
      <c r="BR341">
        <v>484.71</v>
      </c>
      <c r="BS341">
        <v>24445.61</v>
      </c>
      <c r="BV341">
        <v>28.330000000001746</v>
      </c>
      <c r="BW341">
        <v>25.95</v>
      </c>
      <c r="CA341">
        <v>47</v>
      </c>
      <c r="CB341">
        <v>596.29999999999995</v>
      </c>
      <c r="CC341">
        <v>1</v>
      </c>
      <c r="CD341">
        <v>4.18</v>
      </c>
      <c r="CE341">
        <v>4</v>
      </c>
      <c r="CF341">
        <v>120.9</v>
      </c>
      <c r="CG341">
        <v>340</v>
      </c>
      <c r="CH341">
        <v>340</v>
      </c>
    </row>
    <row r="342" spans="1:86" x14ac:dyDescent="0.35">
      <c r="A342">
        <v>357150</v>
      </c>
      <c r="B342" s="2">
        <v>44220</v>
      </c>
      <c r="C342" s="2">
        <v>44226</v>
      </c>
      <c r="D342">
        <v>993</v>
      </c>
      <c r="E342">
        <v>3732.17</v>
      </c>
      <c r="F342">
        <v>11079.52</v>
      </c>
      <c r="G342">
        <v>3101.68</v>
      </c>
      <c r="H342">
        <v>3188.79</v>
      </c>
      <c r="I342">
        <v>677.13</v>
      </c>
      <c r="J342">
        <v>19143.669999999998</v>
      </c>
      <c r="K342">
        <v>1424.7700000000002</v>
      </c>
      <c r="L342">
        <v>3272</v>
      </c>
      <c r="M342">
        <v>1440.4900000000002</v>
      </c>
      <c r="N342">
        <v>19914.98</v>
      </c>
      <c r="O342">
        <v>0</v>
      </c>
      <c r="P342">
        <v>0</v>
      </c>
      <c r="R342">
        <v>787.03000000000009</v>
      </c>
      <c r="V342">
        <v>13</v>
      </c>
      <c r="W342">
        <v>125</v>
      </c>
      <c r="X342">
        <v>0</v>
      </c>
      <c r="Y342">
        <v>0</v>
      </c>
      <c r="Z342">
        <v>288</v>
      </c>
      <c r="AA342">
        <v>950.06</v>
      </c>
      <c r="AB342">
        <v>29</v>
      </c>
      <c r="AC342">
        <v>586.16999999999996</v>
      </c>
      <c r="AD342">
        <v>150</v>
      </c>
      <c r="AE342">
        <v>299.10000000000002</v>
      </c>
      <c r="AH342">
        <v>0</v>
      </c>
      <c r="AJ342">
        <v>1643.26</v>
      </c>
      <c r="AN342">
        <v>843</v>
      </c>
      <c r="AO342">
        <v>0</v>
      </c>
      <c r="AP342">
        <v>-5655.67</v>
      </c>
      <c r="AQ342">
        <v>534</v>
      </c>
      <c r="AR342">
        <v>4204.99</v>
      </c>
      <c r="AS342">
        <v>1185</v>
      </c>
      <c r="AT342">
        <v>8740.23</v>
      </c>
      <c r="AU342">
        <v>75</v>
      </c>
      <c r="AV342">
        <v>659.81</v>
      </c>
      <c r="AW342">
        <v>28</v>
      </c>
      <c r="AX342">
        <v>248.05</v>
      </c>
      <c r="AY342">
        <v>391</v>
      </c>
      <c r="AZ342">
        <v>1984.95</v>
      </c>
      <c r="BS342">
        <v>20568.439999999999</v>
      </c>
      <c r="BV342">
        <v>0</v>
      </c>
      <c r="BW342">
        <v>0</v>
      </c>
      <c r="CG342">
        <v>341</v>
      </c>
      <c r="CH342">
        <v>341</v>
      </c>
    </row>
    <row r="343" spans="1:86" x14ac:dyDescent="0.35">
      <c r="A343">
        <v>358682</v>
      </c>
      <c r="B343" s="2">
        <v>44220</v>
      </c>
      <c r="C343" s="2">
        <v>44226</v>
      </c>
      <c r="D343">
        <v>536</v>
      </c>
      <c r="E343">
        <v>1765.84</v>
      </c>
      <c r="F343">
        <v>6895.7499999999991</v>
      </c>
      <c r="G343">
        <v>1531.61</v>
      </c>
      <c r="H343">
        <v>4308.7700000000004</v>
      </c>
      <c r="I343">
        <v>532.16999999999996</v>
      </c>
      <c r="J343">
        <v>13596.290000000003</v>
      </c>
      <c r="K343">
        <v>445.09999999999997</v>
      </c>
      <c r="L343">
        <v>2326</v>
      </c>
      <c r="M343">
        <v>471.21999999999997</v>
      </c>
      <c r="N343">
        <v>14308.380000000003</v>
      </c>
      <c r="O343">
        <v>9</v>
      </c>
      <c r="P343">
        <v>11.53</v>
      </c>
      <c r="R343">
        <v>738.21</v>
      </c>
      <c r="V343">
        <v>5</v>
      </c>
      <c r="W343">
        <v>180</v>
      </c>
      <c r="X343">
        <v>0</v>
      </c>
      <c r="Y343">
        <v>0</v>
      </c>
      <c r="Z343">
        <v>326</v>
      </c>
      <c r="AA343">
        <v>850.52</v>
      </c>
      <c r="AB343">
        <v>75</v>
      </c>
      <c r="AC343">
        <v>1480.06</v>
      </c>
      <c r="AD343">
        <v>102</v>
      </c>
      <c r="AE343">
        <v>153.16999999999999</v>
      </c>
      <c r="AH343">
        <v>0</v>
      </c>
      <c r="AJ343">
        <v>1246.93</v>
      </c>
      <c r="AN343">
        <v>2681.3</v>
      </c>
      <c r="AO343">
        <v>32.619999999999997</v>
      </c>
      <c r="AP343">
        <v>32.730000000000018</v>
      </c>
      <c r="AQ343">
        <v>301</v>
      </c>
      <c r="AR343">
        <v>2193.92</v>
      </c>
      <c r="AS343">
        <v>982</v>
      </c>
      <c r="AT343">
        <v>6962.18</v>
      </c>
      <c r="AU343">
        <v>159</v>
      </c>
      <c r="AV343">
        <v>1169.8499999999999</v>
      </c>
      <c r="AW343">
        <v>48</v>
      </c>
      <c r="AX343">
        <v>308.8</v>
      </c>
      <c r="AY343">
        <v>298</v>
      </c>
      <c r="AZ343">
        <v>1479.15</v>
      </c>
      <c r="BM343">
        <v>3</v>
      </c>
      <c r="BN343">
        <v>34.950000000000003</v>
      </c>
      <c r="BP343">
        <v>42</v>
      </c>
      <c r="BQ343">
        <v>496.81</v>
      </c>
      <c r="BR343">
        <v>418.16</v>
      </c>
      <c r="BS343">
        <v>14043.98</v>
      </c>
      <c r="BV343">
        <v>-8.3500000000003638</v>
      </c>
      <c r="BW343">
        <v>-8.35</v>
      </c>
      <c r="CA343">
        <v>13</v>
      </c>
      <c r="CB343">
        <v>141.47</v>
      </c>
      <c r="CG343">
        <v>342</v>
      </c>
      <c r="CH343">
        <v>342</v>
      </c>
    </row>
    <row r="344" spans="1:86" x14ac:dyDescent="0.35">
      <c r="A344">
        <v>359606</v>
      </c>
      <c r="B344" s="2">
        <v>44220</v>
      </c>
      <c r="C344" s="2">
        <v>44226</v>
      </c>
      <c r="D344">
        <v>273</v>
      </c>
      <c r="E344">
        <v>927.47</v>
      </c>
      <c r="F344">
        <v>3879.8900000000003</v>
      </c>
      <c r="G344">
        <v>1367.92</v>
      </c>
      <c r="H344">
        <v>2357.33</v>
      </c>
      <c r="I344">
        <v>307.83000000000004</v>
      </c>
      <c r="J344">
        <v>8013.21</v>
      </c>
      <c r="K344">
        <v>330.27</v>
      </c>
      <c r="L344">
        <v>1481</v>
      </c>
      <c r="M344">
        <v>344.01</v>
      </c>
      <c r="N344">
        <v>8482.02</v>
      </c>
      <c r="O344">
        <v>5</v>
      </c>
      <c r="P344">
        <v>4.9800000000000004</v>
      </c>
      <c r="R344">
        <v>482.55000000000007</v>
      </c>
      <c r="V344">
        <v>0</v>
      </c>
      <c r="W344">
        <v>0</v>
      </c>
      <c r="X344">
        <v>0</v>
      </c>
      <c r="Y344">
        <v>0</v>
      </c>
      <c r="Z344">
        <v>197</v>
      </c>
      <c r="AA344">
        <v>552.1</v>
      </c>
      <c r="AB344">
        <v>24</v>
      </c>
      <c r="AC344">
        <v>251.43</v>
      </c>
      <c r="AD344">
        <v>6</v>
      </c>
      <c r="AE344">
        <v>11.52</v>
      </c>
      <c r="AH344">
        <v>0</v>
      </c>
      <c r="AJ344">
        <v>742.29</v>
      </c>
      <c r="AN344">
        <v>1216.3499999999999</v>
      </c>
      <c r="AO344">
        <v>0</v>
      </c>
      <c r="AP344">
        <v>-32</v>
      </c>
      <c r="AQ344">
        <v>191</v>
      </c>
      <c r="AR344">
        <v>1277.77</v>
      </c>
      <c r="AS344">
        <v>672</v>
      </c>
      <c r="AT344">
        <v>4097.8900000000003</v>
      </c>
      <c r="AU344">
        <v>125</v>
      </c>
      <c r="AV344">
        <v>771.9</v>
      </c>
      <c r="AW344">
        <v>36</v>
      </c>
      <c r="AX344">
        <v>225</v>
      </c>
      <c r="AY344">
        <v>173</v>
      </c>
      <c r="AZ344">
        <v>891.06</v>
      </c>
      <c r="BP344">
        <v>20</v>
      </c>
      <c r="BQ344">
        <v>288.69</v>
      </c>
      <c r="BR344">
        <v>277.57</v>
      </c>
      <c r="BS344">
        <v>8347.65</v>
      </c>
      <c r="BV344">
        <v>30.279999999998836</v>
      </c>
      <c r="BW344">
        <v>39.799999999999997</v>
      </c>
      <c r="CA344">
        <v>21</v>
      </c>
      <c r="CB344">
        <v>255.44</v>
      </c>
      <c r="CE344">
        <v>1</v>
      </c>
      <c r="CF344">
        <v>39.19</v>
      </c>
      <c r="CG344">
        <v>343</v>
      </c>
      <c r="CH344">
        <v>343</v>
      </c>
    </row>
    <row r="345" spans="1:86" x14ac:dyDescent="0.35">
      <c r="A345">
        <v>350432</v>
      </c>
      <c r="B345" s="2">
        <v>44220</v>
      </c>
      <c r="C345" s="2">
        <v>44226</v>
      </c>
      <c r="D345">
        <v>1216</v>
      </c>
      <c r="E345" s="1">
        <v>3867.77</v>
      </c>
      <c r="F345" s="1">
        <v>13254.19</v>
      </c>
      <c r="G345" s="1">
        <v>3393.32</v>
      </c>
      <c r="H345" s="1">
        <v>6408.02</v>
      </c>
      <c r="I345" s="1">
        <v>1104.02</v>
      </c>
      <c r="J345" s="1">
        <v>26192.57</v>
      </c>
      <c r="K345" s="1">
        <v>3627.49</v>
      </c>
      <c r="L345">
        <v>5029</v>
      </c>
      <c r="M345" s="1">
        <v>3700.59</v>
      </c>
      <c r="N345" s="1">
        <v>27318.52</v>
      </c>
      <c r="O345">
        <v>13</v>
      </c>
      <c r="P345" s="1">
        <v>72.69</v>
      </c>
      <c r="Q345">
        <v>92</v>
      </c>
      <c r="R345" s="1">
        <v>54.87</v>
      </c>
      <c r="S345">
        <v>366</v>
      </c>
      <c r="T345" s="1">
        <v>672.81</v>
      </c>
      <c r="U345" s="1">
        <v>398.68</v>
      </c>
      <c r="V345">
        <v>7</v>
      </c>
      <c r="W345" s="1">
        <v>90.87</v>
      </c>
      <c r="X345">
        <v>133</v>
      </c>
      <c r="Y345" s="1">
        <v>0</v>
      </c>
      <c r="Z345">
        <v>1052</v>
      </c>
      <c r="AA345" s="1">
        <v>3161.21</v>
      </c>
      <c r="AB345">
        <v>152</v>
      </c>
      <c r="AC345" s="1">
        <v>441.35</v>
      </c>
      <c r="AD345">
        <v>9</v>
      </c>
      <c r="AE345" s="1">
        <v>29.29</v>
      </c>
      <c r="AF345" s="1">
        <v>0</v>
      </c>
      <c r="AG345" s="1">
        <v>0</v>
      </c>
      <c r="AH345" s="1">
        <v>0</v>
      </c>
      <c r="AI345" s="1">
        <v>0</v>
      </c>
      <c r="AJ345" s="1">
        <v>2199.88</v>
      </c>
      <c r="AL345" s="1">
        <v>29820.06</v>
      </c>
      <c r="AM345" s="1">
        <v>0</v>
      </c>
      <c r="AN345" s="1">
        <v>4149</v>
      </c>
      <c r="AO345" s="1">
        <v>11.03</v>
      </c>
      <c r="AP345" s="1">
        <v>-689.12</v>
      </c>
      <c r="AQ345">
        <v>619</v>
      </c>
      <c r="AR345" s="1">
        <v>4055.21</v>
      </c>
      <c r="AS345">
        <v>2186</v>
      </c>
      <c r="AT345" s="1">
        <v>14750.04</v>
      </c>
      <c r="AU345">
        <v>253</v>
      </c>
      <c r="AV345" s="1">
        <v>1919.74</v>
      </c>
      <c r="AW345">
        <v>68</v>
      </c>
      <c r="AX345" s="1">
        <v>503.11</v>
      </c>
      <c r="AY345">
        <v>429</v>
      </c>
      <c r="AZ345" s="1">
        <v>2357.9</v>
      </c>
      <c r="BA345">
        <v>5</v>
      </c>
      <c r="BB345" s="1">
        <v>17.079999999999998</v>
      </c>
      <c r="BC345">
        <v>16</v>
      </c>
      <c r="BD345" s="1">
        <v>89.76</v>
      </c>
      <c r="BE345">
        <v>93</v>
      </c>
      <c r="BF345" s="1">
        <v>506.21</v>
      </c>
      <c r="BG345">
        <v>22</v>
      </c>
      <c r="BH345" s="1">
        <v>103.23</v>
      </c>
      <c r="BI345">
        <v>2</v>
      </c>
      <c r="BJ345" s="1">
        <v>50.07</v>
      </c>
      <c r="BK345">
        <v>71</v>
      </c>
      <c r="BL345" s="1">
        <v>374.62</v>
      </c>
      <c r="BM345">
        <v>10</v>
      </c>
      <c r="BN345" s="1">
        <v>100.42</v>
      </c>
      <c r="BO345" s="1">
        <v>102.91</v>
      </c>
      <c r="BP345">
        <v>87</v>
      </c>
      <c r="BQ345" s="1">
        <v>875.58</v>
      </c>
      <c r="BR345" s="1">
        <v>1046.02</v>
      </c>
      <c r="CA345">
        <v>45</v>
      </c>
      <c r="CB345" s="1">
        <v>547.72</v>
      </c>
      <c r="CG345">
        <v>344</v>
      </c>
      <c r="CH345">
        <v>344</v>
      </c>
    </row>
    <row r="346" spans="1:86" x14ac:dyDescent="0.35">
      <c r="A346">
        <v>350437</v>
      </c>
      <c r="B346" s="2">
        <v>44220</v>
      </c>
      <c r="C346" s="2">
        <v>44226</v>
      </c>
      <c r="D346">
        <v>689</v>
      </c>
      <c r="E346" s="1">
        <v>2242.1799999999998</v>
      </c>
      <c r="F346" s="1">
        <v>8311.61</v>
      </c>
      <c r="G346" s="1">
        <v>3676.01</v>
      </c>
      <c r="H346" s="1">
        <v>4183.6400000000003</v>
      </c>
      <c r="I346" s="1">
        <v>589.37</v>
      </c>
      <c r="J346" s="1">
        <v>17907.87</v>
      </c>
      <c r="K346" s="1">
        <v>0</v>
      </c>
      <c r="L346">
        <v>3077</v>
      </c>
      <c r="M346" s="1">
        <v>0</v>
      </c>
      <c r="N346" s="1">
        <v>18461.71</v>
      </c>
      <c r="O346">
        <v>3</v>
      </c>
      <c r="P346" s="1">
        <v>11.06</v>
      </c>
      <c r="Q346">
        <v>48</v>
      </c>
      <c r="R346" s="1">
        <v>50.13</v>
      </c>
      <c r="S346">
        <v>160</v>
      </c>
      <c r="T346" s="1">
        <v>311.2</v>
      </c>
      <c r="U346" s="1">
        <v>181.45</v>
      </c>
      <c r="V346">
        <v>5</v>
      </c>
      <c r="W346" s="1">
        <v>65</v>
      </c>
      <c r="X346">
        <v>111</v>
      </c>
      <c r="Y346" s="1">
        <v>0</v>
      </c>
      <c r="Z346">
        <v>481</v>
      </c>
      <c r="AA346" s="1">
        <v>1408.32</v>
      </c>
      <c r="AB346">
        <v>73</v>
      </c>
      <c r="AC346" s="1">
        <v>183.67</v>
      </c>
      <c r="AD346">
        <v>25</v>
      </c>
      <c r="AE346" s="1">
        <v>93.97</v>
      </c>
      <c r="AF346" s="1">
        <v>1</v>
      </c>
      <c r="AG346" s="1">
        <v>1</v>
      </c>
      <c r="AH346" s="1">
        <v>0</v>
      </c>
      <c r="AI346" s="1">
        <v>0</v>
      </c>
      <c r="AJ346" s="1">
        <v>1593.09</v>
      </c>
      <c r="AL346" s="1">
        <v>17907.87</v>
      </c>
      <c r="AM346" s="1">
        <v>1</v>
      </c>
      <c r="AN346" s="1">
        <v>3008</v>
      </c>
      <c r="AO346" s="1">
        <v>85</v>
      </c>
      <c r="AP346" s="1">
        <v>23.23</v>
      </c>
      <c r="AQ346">
        <v>355</v>
      </c>
      <c r="AR346" s="1">
        <v>2368.4899999999998</v>
      </c>
      <c r="AS346">
        <v>1328</v>
      </c>
      <c r="AT346" s="1">
        <v>8713.01</v>
      </c>
      <c r="AU346">
        <v>309</v>
      </c>
      <c r="AV346" s="1">
        <v>2286.3200000000002</v>
      </c>
      <c r="AW346">
        <v>34</v>
      </c>
      <c r="AX346" s="1">
        <v>223.27</v>
      </c>
      <c r="AY346">
        <v>299</v>
      </c>
      <c r="AZ346" s="1">
        <v>1574.6</v>
      </c>
      <c r="BA346">
        <v>7</v>
      </c>
      <c r="BB346" s="1">
        <v>37.01</v>
      </c>
      <c r="BC346">
        <v>4</v>
      </c>
      <c r="BD346" s="1">
        <v>33.229999999999997</v>
      </c>
      <c r="BE346">
        <v>44</v>
      </c>
      <c r="BF346" s="1">
        <v>243.41</v>
      </c>
      <c r="BG346">
        <v>11</v>
      </c>
      <c r="BH346" s="1">
        <v>141.86000000000001</v>
      </c>
      <c r="BK346">
        <v>21</v>
      </c>
      <c r="BL346" s="1">
        <v>148.91999999999999</v>
      </c>
      <c r="BM346">
        <v>1</v>
      </c>
      <c r="BN346" s="1">
        <v>20.2</v>
      </c>
      <c r="BO346" s="1">
        <v>18.55</v>
      </c>
      <c r="BP346">
        <v>34</v>
      </c>
      <c r="BQ346" s="1">
        <v>411.5</v>
      </c>
      <c r="BR346" s="1">
        <v>361.31</v>
      </c>
      <c r="CA346">
        <v>24</v>
      </c>
      <c r="CB346" s="1">
        <v>295.37</v>
      </c>
      <c r="CG346">
        <v>345</v>
      </c>
      <c r="CH346">
        <v>345</v>
      </c>
    </row>
    <row r="347" spans="1:86" x14ac:dyDescent="0.35">
      <c r="A347">
        <v>351323</v>
      </c>
      <c r="B347" s="2">
        <v>44220</v>
      </c>
      <c r="C347" s="2">
        <v>44226</v>
      </c>
      <c r="D347">
        <v>983</v>
      </c>
      <c r="E347" s="1">
        <v>3296.34</v>
      </c>
      <c r="F347" s="1">
        <v>11544.24</v>
      </c>
      <c r="G347" s="1">
        <v>3884.31</v>
      </c>
      <c r="H347" s="1">
        <v>5048.51</v>
      </c>
      <c r="I347" s="1">
        <v>820.21</v>
      </c>
      <c r="J347" s="1">
        <v>22704.240000000002</v>
      </c>
      <c r="K347" s="1">
        <v>2088.36</v>
      </c>
      <c r="L347">
        <v>4356</v>
      </c>
      <c r="M347" s="1">
        <v>2111.1799999999998</v>
      </c>
      <c r="N347" s="1">
        <v>23618.15</v>
      </c>
      <c r="O347">
        <v>8</v>
      </c>
      <c r="P347" s="1">
        <v>22.43</v>
      </c>
      <c r="Q347">
        <v>37</v>
      </c>
      <c r="R347" s="1">
        <v>16.71</v>
      </c>
      <c r="S347">
        <v>337</v>
      </c>
      <c r="T347" s="1">
        <v>595.45000000000005</v>
      </c>
      <c r="U347" s="1">
        <v>300.04000000000002</v>
      </c>
      <c r="V347">
        <v>7</v>
      </c>
      <c r="W347" s="1">
        <v>116</v>
      </c>
      <c r="X347">
        <v>83</v>
      </c>
      <c r="Y347" s="1">
        <v>0</v>
      </c>
      <c r="Z347">
        <v>734</v>
      </c>
      <c r="AA347" s="1">
        <v>2273.92</v>
      </c>
      <c r="AB347">
        <v>114</v>
      </c>
      <c r="AC347" s="1">
        <v>354.04</v>
      </c>
      <c r="AD347">
        <v>36</v>
      </c>
      <c r="AE347" s="1">
        <v>68.290000000000006</v>
      </c>
      <c r="AF347" s="1">
        <v>0</v>
      </c>
      <c r="AG347" s="1">
        <v>0</v>
      </c>
      <c r="AH347" s="1">
        <v>0</v>
      </c>
      <c r="AI347" s="1">
        <v>0</v>
      </c>
      <c r="AJ347" s="1">
        <v>986.24</v>
      </c>
      <c r="AL347" s="1">
        <v>24794.7</v>
      </c>
      <c r="AM347" s="1">
        <v>0</v>
      </c>
      <c r="AN347" s="1">
        <v>3741</v>
      </c>
      <c r="AO347" s="1">
        <v>4.53</v>
      </c>
      <c r="AP347" s="1">
        <v>20.66</v>
      </c>
      <c r="AQ347">
        <v>696</v>
      </c>
      <c r="AR347" s="1">
        <v>4523.6400000000003</v>
      </c>
      <c r="AS347">
        <v>1846</v>
      </c>
      <c r="AT347" s="1">
        <v>12162.87</v>
      </c>
      <c r="AU347">
        <v>74</v>
      </c>
      <c r="AV347" s="1">
        <v>554.59</v>
      </c>
      <c r="AW347">
        <v>45</v>
      </c>
      <c r="AX347" s="1">
        <v>294.27999999999997</v>
      </c>
      <c r="AY347">
        <v>440</v>
      </c>
      <c r="AZ347" s="1">
        <v>2066.5300000000002</v>
      </c>
      <c r="BA347">
        <v>3</v>
      </c>
      <c r="BB347" s="1">
        <v>40.49</v>
      </c>
      <c r="BC347">
        <v>2</v>
      </c>
      <c r="BD347" s="1">
        <v>6.39</v>
      </c>
      <c r="BE347">
        <v>69</v>
      </c>
      <c r="BF347" s="1">
        <v>211.25</v>
      </c>
      <c r="BG347">
        <v>13</v>
      </c>
      <c r="BH347" s="1">
        <v>39.86</v>
      </c>
      <c r="BI347">
        <v>1</v>
      </c>
      <c r="BJ347" s="1">
        <v>26.49</v>
      </c>
      <c r="BK347">
        <v>48</v>
      </c>
      <c r="BL347" s="1">
        <v>204.11</v>
      </c>
      <c r="BM347">
        <v>5</v>
      </c>
      <c r="BN347" s="1">
        <v>17</v>
      </c>
      <c r="BO347" s="1">
        <v>36.659999999999997</v>
      </c>
      <c r="BP347">
        <v>32</v>
      </c>
      <c r="BQ347" s="1">
        <v>235.73</v>
      </c>
      <c r="BR347" s="1">
        <v>250.45</v>
      </c>
      <c r="CA347">
        <v>16</v>
      </c>
      <c r="CB347" s="1">
        <v>106.71</v>
      </c>
      <c r="CG347">
        <v>346</v>
      </c>
      <c r="CH347">
        <v>346</v>
      </c>
    </row>
    <row r="348" spans="1:86" x14ac:dyDescent="0.35">
      <c r="A348">
        <v>353927</v>
      </c>
      <c r="B348" s="2">
        <v>44220</v>
      </c>
      <c r="C348" s="2">
        <v>44226</v>
      </c>
      <c r="D348">
        <v>960</v>
      </c>
      <c r="E348" s="1">
        <v>3242.03</v>
      </c>
      <c r="F348" s="1">
        <v>11140.84</v>
      </c>
      <c r="G348" s="1">
        <v>4301.9799999999996</v>
      </c>
      <c r="H348" s="1">
        <v>5148.78</v>
      </c>
      <c r="I348" s="1">
        <v>789.41</v>
      </c>
      <c r="J348" s="1">
        <v>22684.37</v>
      </c>
      <c r="K348" s="1">
        <v>0</v>
      </c>
      <c r="L348">
        <v>3852</v>
      </c>
      <c r="M348" s="1">
        <v>0</v>
      </c>
      <c r="N348" s="1">
        <v>23657.48</v>
      </c>
      <c r="O348">
        <v>7</v>
      </c>
      <c r="P348" s="1">
        <v>25.72</v>
      </c>
      <c r="Q348">
        <v>24</v>
      </c>
      <c r="R348" s="1">
        <v>37.880000000000003</v>
      </c>
      <c r="S348">
        <v>368</v>
      </c>
      <c r="T348" s="1">
        <v>596.80999999999995</v>
      </c>
      <c r="U348" s="1">
        <v>312.7</v>
      </c>
      <c r="V348">
        <v>8</v>
      </c>
      <c r="W348" s="1">
        <v>130</v>
      </c>
      <c r="X348">
        <v>63</v>
      </c>
      <c r="Y348" s="1">
        <v>0</v>
      </c>
      <c r="Z348">
        <v>661</v>
      </c>
      <c r="AA348" s="1">
        <v>1935.88</v>
      </c>
      <c r="AB348">
        <v>68</v>
      </c>
      <c r="AC348" s="1">
        <v>188.53</v>
      </c>
      <c r="AD348">
        <v>32</v>
      </c>
      <c r="AE348" s="1">
        <v>79.66</v>
      </c>
      <c r="AF348" s="1">
        <v>0</v>
      </c>
      <c r="AG348" s="1">
        <v>0</v>
      </c>
      <c r="AH348" s="1">
        <v>0</v>
      </c>
      <c r="AI348" s="1">
        <v>0</v>
      </c>
      <c r="AJ348" s="1">
        <v>1360.37</v>
      </c>
      <c r="AL348" s="1">
        <v>22684.37</v>
      </c>
      <c r="AM348" s="1">
        <v>0</v>
      </c>
      <c r="AN348" s="1">
        <v>5184</v>
      </c>
      <c r="AO348" s="1">
        <v>0</v>
      </c>
      <c r="AP348" s="1">
        <v>-2.46</v>
      </c>
      <c r="AQ348">
        <v>590</v>
      </c>
      <c r="AR348" s="1">
        <v>3868.87</v>
      </c>
      <c r="AS348">
        <v>1617</v>
      </c>
      <c r="AT348" s="1">
        <v>10738.92</v>
      </c>
      <c r="AU348">
        <v>47</v>
      </c>
      <c r="AV348" s="1">
        <v>303.29000000000002</v>
      </c>
      <c r="AW348">
        <v>33</v>
      </c>
      <c r="AX348" s="1">
        <v>219.22</v>
      </c>
      <c r="AY348">
        <v>352</v>
      </c>
      <c r="AZ348" s="1">
        <v>1652.95</v>
      </c>
      <c r="BA348">
        <v>4</v>
      </c>
      <c r="BB348" s="1">
        <v>24.88</v>
      </c>
      <c r="BC348">
        <v>1</v>
      </c>
      <c r="BD348" s="1">
        <v>6.55</v>
      </c>
      <c r="BE348">
        <v>94</v>
      </c>
      <c r="BF348" s="1">
        <v>614.04999999999995</v>
      </c>
      <c r="BG348">
        <v>7</v>
      </c>
      <c r="BH348" s="1">
        <v>38.51</v>
      </c>
      <c r="BK348">
        <v>45</v>
      </c>
      <c r="BL348" s="1">
        <v>298.64</v>
      </c>
      <c r="BM348">
        <v>2</v>
      </c>
      <c r="BN348" s="1">
        <v>22.55</v>
      </c>
      <c r="BO348" s="1">
        <v>21.27</v>
      </c>
      <c r="BP348">
        <v>46</v>
      </c>
      <c r="BQ348" s="1">
        <v>712.14</v>
      </c>
      <c r="BR348" s="1">
        <v>652.38</v>
      </c>
      <c r="CA348">
        <v>41</v>
      </c>
      <c r="CB348" s="1">
        <v>487.71</v>
      </c>
      <c r="CG348">
        <v>347</v>
      </c>
      <c r="CH348">
        <v>347</v>
      </c>
    </row>
    <row r="349" spans="1:86" x14ac:dyDescent="0.35">
      <c r="A349">
        <v>354030</v>
      </c>
      <c r="B349" s="2">
        <v>44220</v>
      </c>
      <c r="C349" s="2">
        <v>44226</v>
      </c>
      <c r="D349">
        <v>863</v>
      </c>
      <c r="E349" s="1">
        <v>2982.36</v>
      </c>
      <c r="F349" s="1">
        <v>9690.6299999999992</v>
      </c>
      <c r="G349" s="1">
        <v>5042.1000000000004</v>
      </c>
      <c r="H349" s="1">
        <v>4157.0600000000004</v>
      </c>
      <c r="I349" s="1">
        <v>752.51</v>
      </c>
      <c r="J349" s="1">
        <v>20809.099999999999</v>
      </c>
      <c r="K349" s="1">
        <v>1130.31</v>
      </c>
      <c r="L349">
        <v>3407</v>
      </c>
      <c r="M349" s="1">
        <v>1153.71</v>
      </c>
      <c r="N349" s="1">
        <v>21711.08</v>
      </c>
      <c r="O349">
        <v>3</v>
      </c>
      <c r="P349" s="1">
        <v>19.36</v>
      </c>
      <c r="Q349">
        <v>30</v>
      </c>
      <c r="R349" s="1">
        <v>44.98</v>
      </c>
      <c r="S349">
        <v>290</v>
      </c>
      <c r="T349" s="1">
        <v>549.73</v>
      </c>
      <c r="U349" s="1">
        <v>317.31</v>
      </c>
      <c r="V349">
        <v>12</v>
      </c>
      <c r="W349" s="1">
        <v>180</v>
      </c>
      <c r="X349">
        <v>56</v>
      </c>
      <c r="Y349" s="1">
        <v>0</v>
      </c>
      <c r="Z349">
        <v>440</v>
      </c>
      <c r="AA349" s="1">
        <v>1417.72</v>
      </c>
      <c r="AB349">
        <v>56</v>
      </c>
      <c r="AC349" s="1">
        <v>177.79</v>
      </c>
      <c r="AD349">
        <v>17</v>
      </c>
      <c r="AE349" s="1">
        <v>55.2</v>
      </c>
      <c r="AF349" s="1">
        <v>6</v>
      </c>
      <c r="AG349" s="1">
        <v>6</v>
      </c>
      <c r="AH349" s="1">
        <v>0</v>
      </c>
      <c r="AI349" s="1">
        <v>0</v>
      </c>
      <c r="AJ349" s="1">
        <v>842.18</v>
      </c>
      <c r="AL349" s="1">
        <v>21939.41</v>
      </c>
      <c r="AM349" s="1">
        <v>6</v>
      </c>
      <c r="AN349" s="1">
        <v>2496</v>
      </c>
      <c r="AO349" s="1">
        <v>3.39</v>
      </c>
      <c r="AP349" s="1">
        <v>25.92</v>
      </c>
      <c r="AQ349">
        <v>466</v>
      </c>
      <c r="AR349" s="1">
        <v>3276.57</v>
      </c>
      <c r="AS349">
        <v>1432</v>
      </c>
      <c r="AT349" s="1">
        <v>10945.17</v>
      </c>
      <c r="AU349">
        <v>108</v>
      </c>
      <c r="AV349" s="1">
        <v>846.87</v>
      </c>
      <c r="AW349">
        <v>46</v>
      </c>
      <c r="AX349" s="1">
        <v>348.82</v>
      </c>
      <c r="AY349">
        <v>454</v>
      </c>
      <c r="AZ349" s="1">
        <v>2414.0100000000002</v>
      </c>
      <c r="BA349">
        <v>6</v>
      </c>
      <c r="BB349" s="1">
        <v>22.92</v>
      </c>
      <c r="BC349">
        <v>9</v>
      </c>
      <c r="BD349" s="1">
        <v>37.75</v>
      </c>
      <c r="BE349">
        <v>103</v>
      </c>
      <c r="BF349" s="1">
        <v>437.07</v>
      </c>
      <c r="BG349">
        <v>12</v>
      </c>
      <c r="BH349" s="1">
        <v>86.7</v>
      </c>
      <c r="BK349">
        <v>60</v>
      </c>
      <c r="BL349" s="1">
        <v>332.87</v>
      </c>
      <c r="BM349">
        <v>3</v>
      </c>
      <c r="BN349" s="1">
        <v>25.03</v>
      </c>
      <c r="BO349" s="1">
        <v>23.61</v>
      </c>
      <c r="BP349">
        <v>18</v>
      </c>
      <c r="BQ349" s="1">
        <v>50.15</v>
      </c>
      <c r="BR349" s="1">
        <v>213.48</v>
      </c>
      <c r="CA349">
        <v>29</v>
      </c>
      <c r="CB349" s="1">
        <v>217.72</v>
      </c>
      <c r="CG349">
        <v>348</v>
      </c>
      <c r="CH349">
        <v>348</v>
      </c>
    </row>
    <row r="350" spans="1:86" x14ac:dyDescent="0.35">
      <c r="A350">
        <v>355439</v>
      </c>
      <c r="B350" s="2">
        <v>44220</v>
      </c>
      <c r="C350" s="2">
        <v>44226</v>
      </c>
      <c r="D350">
        <v>1250</v>
      </c>
      <c r="E350">
        <v>4096.51</v>
      </c>
      <c r="F350">
        <v>13331.880000000001</v>
      </c>
      <c r="G350">
        <v>5387.71</v>
      </c>
      <c r="H350">
        <v>5919.0899999999992</v>
      </c>
      <c r="I350">
        <v>895.9</v>
      </c>
      <c r="J350">
        <v>27286.5</v>
      </c>
      <c r="K350">
        <v>0</v>
      </c>
      <c r="L350">
        <v>4795</v>
      </c>
      <c r="M350">
        <v>0</v>
      </c>
      <c r="N350">
        <v>28236.83</v>
      </c>
      <c r="O350">
        <v>21</v>
      </c>
      <c r="P350">
        <v>83.27</v>
      </c>
      <c r="Q350">
        <v>59</v>
      </c>
      <c r="R350">
        <v>43.37</v>
      </c>
      <c r="S350">
        <v>295</v>
      </c>
      <c r="T350">
        <v>541.09</v>
      </c>
      <c r="U350">
        <v>216.41</v>
      </c>
      <c r="V350">
        <v>40</v>
      </c>
      <c r="W350">
        <v>440</v>
      </c>
      <c r="X350">
        <v>92</v>
      </c>
      <c r="Y350">
        <v>0</v>
      </c>
      <c r="Z350">
        <v>718</v>
      </c>
      <c r="AA350">
        <v>9841.4399999999987</v>
      </c>
      <c r="AB350">
        <v>129</v>
      </c>
      <c r="AC350">
        <v>470.28999999999996</v>
      </c>
      <c r="AD350">
        <v>153</v>
      </c>
      <c r="AE350">
        <v>266.81</v>
      </c>
      <c r="AF350">
        <v>1.1000000000000001</v>
      </c>
      <c r="AG350">
        <v>1</v>
      </c>
      <c r="AH350">
        <v>0</v>
      </c>
      <c r="AI350">
        <v>0</v>
      </c>
      <c r="AJ350">
        <v>1475.81</v>
      </c>
      <c r="AK350">
        <v>0</v>
      </c>
      <c r="AL350">
        <v>22778.99</v>
      </c>
      <c r="AM350">
        <v>1</v>
      </c>
      <c r="AN350">
        <v>2732.94</v>
      </c>
      <c r="AO350">
        <v>417.3</v>
      </c>
      <c r="AP350">
        <v>-737.56999999999994</v>
      </c>
      <c r="AQ350">
        <v>698</v>
      </c>
      <c r="AR350">
        <v>4970.3099999999995</v>
      </c>
      <c r="AS350">
        <v>2000</v>
      </c>
      <c r="AT350">
        <v>13584.85</v>
      </c>
      <c r="AU350">
        <v>208</v>
      </c>
      <c r="AV350">
        <v>1568.6999999999998</v>
      </c>
      <c r="AW350">
        <v>63</v>
      </c>
      <c r="AX350">
        <v>467.53</v>
      </c>
      <c r="AY350">
        <v>430</v>
      </c>
      <c r="AZ350">
        <v>2010.26</v>
      </c>
      <c r="BA350">
        <v>16</v>
      </c>
      <c r="BB350">
        <v>136.49</v>
      </c>
      <c r="BC350">
        <v>12</v>
      </c>
      <c r="BD350">
        <v>57.31</v>
      </c>
      <c r="BE350">
        <v>79</v>
      </c>
      <c r="BF350">
        <v>453.94</v>
      </c>
      <c r="BG350">
        <v>20</v>
      </c>
      <c r="BH350">
        <v>67.53</v>
      </c>
      <c r="BI350">
        <v>0</v>
      </c>
      <c r="BJ350">
        <v>0</v>
      </c>
      <c r="BK350">
        <v>82</v>
      </c>
      <c r="BL350">
        <v>406</v>
      </c>
      <c r="BM350">
        <v>9</v>
      </c>
      <c r="BN350">
        <v>54.95</v>
      </c>
      <c r="BO350">
        <v>76.17</v>
      </c>
      <c r="BP350">
        <v>26</v>
      </c>
      <c r="BQ350">
        <v>406.63</v>
      </c>
      <c r="BR350">
        <v>373.12</v>
      </c>
      <c r="BS350">
        <v>4507.6099999999997</v>
      </c>
      <c r="BT350">
        <v>0</v>
      </c>
      <c r="BU350">
        <v>0</v>
      </c>
      <c r="BV350">
        <v>0</v>
      </c>
      <c r="BW350">
        <v>0</v>
      </c>
      <c r="BX350">
        <v>0</v>
      </c>
      <c r="BY350">
        <v>0</v>
      </c>
      <c r="BZ350">
        <v>0</v>
      </c>
      <c r="CA350">
        <v>57</v>
      </c>
      <c r="CB350">
        <v>645.49</v>
      </c>
      <c r="CC350">
        <v>2</v>
      </c>
      <c r="CD350">
        <v>57.7</v>
      </c>
      <c r="CE350">
        <v>0</v>
      </c>
      <c r="CF350">
        <v>0</v>
      </c>
      <c r="CG350">
        <v>349</v>
      </c>
      <c r="CH350">
        <v>349</v>
      </c>
    </row>
    <row r="351" spans="1:86" x14ac:dyDescent="0.35">
      <c r="A351">
        <v>350432</v>
      </c>
      <c r="B351" s="2">
        <v>44227</v>
      </c>
      <c r="C351" s="2">
        <v>44227</v>
      </c>
      <c r="D351">
        <v>175</v>
      </c>
      <c r="E351" s="1">
        <v>554.07000000000005</v>
      </c>
      <c r="F351" s="1">
        <v>1728.3</v>
      </c>
      <c r="G351" s="1">
        <v>663.52</v>
      </c>
      <c r="H351" s="1">
        <v>1066.79</v>
      </c>
      <c r="I351" s="1">
        <v>121.4</v>
      </c>
      <c r="J351" s="1">
        <v>3852.27</v>
      </c>
      <c r="K351" s="1">
        <v>590.98</v>
      </c>
      <c r="L351">
        <v>656</v>
      </c>
      <c r="M351" s="1">
        <v>596.45000000000005</v>
      </c>
      <c r="N351" s="1">
        <v>3976.52</v>
      </c>
      <c r="O351">
        <v>3</v>
      </c>
      <c r="P351" s="1">
        <v>11.37</v>
      </c>
      <c r="Q351">
        <v>16</v>
      </c>
      <c r="R351" s="1">
        <v>5.79</v>
      </c>
      <c r="S351">
        <v>32</v>
      </c>
      <c r="T351" s="1">
        <v>55.7</v>
      </c>
      <c r="U351" s="1">
        <v>56.86</v>
      </c>
      <c r="V351">
        <v>0</v>
      </c>
      <c r="W351" s="1">
        <v>0</v>
      </c>
      <c r="X351">
        <v>18</v>
      </c>
      <c r="Y351" s="1">
        <v>0</v>
      </c>
      <c r="Z351">
        <v>173</v>
      </c>
      <c r="AA351" s="1">
        <v>764.11</v>
      </c>
      <c r="AB351">
        <v>26</v>
      </c>
      <c r="AC351" s="1">
        <v>62.9</v>
      </c>
      <c r="AD351">
        <v>4</v>
      </c>
      <c r="AE351" s="1">
        <v>17.47</v>
      </c>
      <c r="AF351" s="1">
        <v>0</v>
      </c>
      <c r="AG351" s="1">
        <v>0</v>
      </c>
      <c r="AH351" s="1">
        <v>0</v>
      </c>
      <c r="AI351" s="1">
        <v>0</v>
      </c>
      <c r="AJ351" s="1">
        <v>395.22</v>
      </c>
      <c r="AL351" s="1">
        <v>4443.25</v>
      </c>
      <c r="AM351" s="1">
        <v>0</v>
      </c>
      <c r="AN351" s="1">
        <v>677</v>
      </c>
      <c r="AO351" s="1">
        <v>0</v>
      </c>
      <c r="AP351" s="1">
        <v>2.5299999999999998</v>
      </c>
      <c r="AQ351">
        <v>82</v>
      </c>
      <c r="AR351" s="1">
        <v>703.01</v>
      </c>
      <c r="AS351">
        <v>293</v>
      </c>
      <c r="AT351" s="1">
        <v>2174.25</v>
      </c>
      <c r="AU351">
        <v>35</v>
      </c>
      <c r="AV351" s="1">
        <v>314.77999999999997</v>
      </c>
      <c r="AW351">
        <v>16</v>
      </c>
      <c r="AX351" s="1">
        <v>100.01</v>
      </c>
      <c r="AY351">
        <v>43</v>
      </c>
      <c r="AZ351" s="1">
        <v>225.92</v>
      </c>
      <c r="BC351">
        <v>3</v>
      </c>
      <c r="BD351" s="1">
        <v>15.62</v>
      </c>
      <c r="BE351">
        <v>8</v>
      </c>
      <c r="BF351" s="1">
        <v>46.64</v>
      </c>
      <c r="BG351">
        <v>1</v>
      </c>
      <c r="BH351" s="1">
        <v>6.57</v>
      </c>
      <c r="BK351">
        <v>11</v>
      </c>
      <c r="BL351" s="1">
        <v>69.94</v>
      </c>
      <c r="BM351">
        <v>2</v>
      </c>
      <c r="BN351" s="1">
        <v>24.51</v>
      </c>
      <c r="BO351" s="1">
        <v>22.5</v>
      </c>
      <c r="BP351">
        <v>18</v>
      </c>
      <c r="BQ351" s="1">
        <v>255.87</v>
      </c>
      <c r="BR351" s="1">
        <v>252.88</v>
      </c>
      <c r="CA351">
        <v>15</v>
      </c>
      <c r="CB351" s="1">
        <v>226.88</v>
      </c>
      <c r="CG351">
        <v>350</v>
      </c>
      <c r="CH351">
        <v>350</v>
      </c>
    </row>
    <row r="352" spans="1:86" x14ac:dyDescent="0.35">
      <c r="A352">
        <v>350437</v>
      </c>
      <c r="B352" s="2">
        <v>44227</v>
      </c>
      <c r="C352" s="2">
        <v>44227</v>
      </c>
      <c r="D352">
        <v>82</v>
      </c>
      <c r="E352" s="1">
        <v>288.58999999999997</v>
      </c>
      <c r="F352" s="1">
        <v>928.8</v>
      </c>
      <c r="G352" s="1">
        <v>677.61</v>
      </c>
      <c r="H352" s="1">
        <v>572.15</v>
      </c>
      <c r="I352" s="1">
        <v>62.52</v>
      </c>
      <c r="J352" s="1">
        <v>2398.5500000000002</v>
      </c>
      <c r="K352" s="1">
        <v>0</v>
      </c>
      <c r="L352">
        <v>339</v>
      </c>
      <c r="M352" s="1">
        <v>0</v>
      </c>
      <c r="N352" s="1">
        <v>2459.4699999999998</v>
      </c>
      <c r="O352">
        <v>0</v>
      </c>
      <c r="P352" s="1">
        <v>0</v>
      </c>
      <c r="Q352">
        <v>3</v>
      </c>
      <c r="R352" s="1">
        <v>4.05</v>
      </c>
      <c r="S352">
        <v>15</v>
      </c>
      <c r="T352" s="1">
        <v>36.65</v>
      </c>
      <c r="U352" s="1">
        <v>20.22</v>
      </c>
      <c r="V352">
        <v>0</v>
      </c>
      <c r="W352" s="1">
        <v>0</v>
      </c>
      <c r="X352">
        <v>9</v>
      </c>
      <c r="Y352" s="1">
        <v>0</v>
      </c>
      <c r="Z352">
        <v>65</v>
      </c>
      <c r="AA352" s="1">
        <v>185.52</v>
      </c>
      <c r="AB352">
        <v>6</v>
      </c>
      <c r="AC352" s="1">
        <v>14.51</v>
      </c>
      <c r="AD352">
        <v>2</v>
      </c>
      <c r="AE352" s="1">
        <v>14.97</v>
      </c>
      <c r="AF352" s="1">
        <v>0</v>
      </c>
      <c r="AG352" s="1">
        <v>0</v>
      </c>
      <c r="AH352" s="1">
        <v>0</v>
      </c>
      <c r="AI352" s="1">
        <v>0</v>
      </c>
      <c r="AJ352" s="1">
        <v>213.4</v>
      </c>
      <c r="AL352" s="1">
        <v>2398.5500000000002</v>
      </c>
      <c r="AM352" s="1">
        <v>0</v>
      </c>
      <c r="AN352" s="1">
        <v>325</v>
      </c>
      <c r="AO352" s="1">
        <v>0</v>
      </c>
      <c r="AP352" s="1">
        <v>-0.86</v>
      </c>
      <c r="AQ352">
        <v>29</v>
      </c>
      <c r="AR352" s="1">
        <v>234.04</v>
      </c>
      <c r="AS352">
        <v>139</v>
      </c>
      <c r="AT352" s="1">
        <v>1241.6300000000001</v>
      </c>
      <c r="AU352">
        <v>37</v>
      </c>
      <c r="AV352" s="1">
        <v>342.89</v>
      </c>
      <c r="AW352">
        <v>7</v>
      </c>
      <c r="AX352" s="1">
        <v>57.17</v>
      </c>
      <c r="AY352">
        <v>18</v>
      </c>
      <c r="AZ352" s="1">
        <v>92.16</v>
      </c>
      <c r="BA352">
        <v>1</v>
      </c>
      <c r="BB352" s="1">
        <v>5.64</v>
      </c>
      <c r="BC352">
        <v>2</v>
      </c>
      <c r="BD352" s="1">
        <v>15.28</v>
      </c>
      <c r="BE352">
        <v>11</v>
      </c>
      <c r="BF352" s="1">
        <v>61.99</v>
      </c>
      <c r="BG352">
        <v>4</v>
      </c>
      <c r="BH352" s="1">
        <v>30.46</v>
      </c>
      <c r="BK352">
        <v>6</v>
      </c>
      <c r="BL352" s="1">
        <v>64.14</v>
      </c>
      <c r="BP352">
        <v>9</v>
      </c>
      <c r="BQ352" s="1">
        <v>131.47</v>
      </c>
      <c r="BR352" s="1">
        <v>120.74</v>
      </c>
      <c r="CA352">
        <v>1</v>
      </c>
      <c r="CB352" s="1">
        <v>9.2200000000000006</v>
      </c>
      <c r="CG352">
        <v>351</v>
      </c>
      <c r="CH352">
        <v>351</v>
      </c>
    </row>
    <row r="353" spans="1:86" x14ac:dyDescent="0.35">
      <c r="A353">
        <v>351323</v>
      </c>
      <c r="B353" s="2">
        <v>44227</v>
      </c>
      <c r="C353" s="2">
        <v>44227</v>
      </c>
      <c r="D353">
        <v>124</v>
      </c>
      <c r="E353" s="1">
        <v>439.3</v>
      </c>
      <c r="F353" s="1">
        <v>1453.25</v>
      </c>
      <c r="G353" s="1">
        <v>653.37</v>
      </c>
      <c r="H353" s="1">
        <v>656.79</v>
      </c>
      <c r="I353" s="1">
        <v>66.430000000000007</v>
      </c>
      <c r="J353" s="1">
        <v>3013.14</v>
      </c>
      <c r="K353" s="1">
        <v>262.89</v>
      </c>
      <c r="L353">
        <v>495</v>
      </c>
      <c r="M353" s="1">
        <v>272.17</v>
      </c>
      <c r="N353" s="1">
        <v>3115.74</v>
      </c>
      <c r="O353">
        <v>1</v>
      </c>
      <c r="P353" s="1">
        <v>6.78</v>
      </c>
      <c r="Q353">
        <v>6</v>
      </c>
      <c r="R353" s="1">
        <v>6.31</v>
      </c>
      <c r="S353">
        <v>36</v>
      </c>
      <c r="T353" s="1">
        <v>66.569999999999993</v>
      </c>
      <c r="U353" s="1">
        <v>32.22</v>
      </c>
      <c r="V353">
        <v>0</v>
      </c>
      <c r="W353" s="1">
        <v>0</v>
      </c>
      <c r="X353">
        <v>11</v>
      </c>
      <c r="Y353" s="1">
        <v>0</v>
      </c>
      <c r="Z353">
        <v>114</v>
      </c>
      <c r="AA353" s="1">
        <v>338.93</v>
      </c>
      <c r="AB353">
        <v>21</v>
      </c>
      <c r="AC353" s="1">
        <v>86.07</v>
      </c>
      <c r="AD353">
        <v>11</v>
      </c>
      <c r="AE353" s="1">
        <v>84.97</v>
      </c>
      <c r="AF353" s="1">
        <v>0</v>
      </c>
      <c r="AG353" s="1">
        <v>0</v>
      </c>
      <c r="AH353" s="1">
        <v>0</v>
      </c>
      <c r="AI353" s="1">
        <v>0</v>
      </c>
      <c r="AJ353" s="1">
        <v>196.39</v>
      </c>
      <c r="AL353" s="1">
        <v>3276.03</v>
      </c>
      <c r="AM353" s="1">
        <v>0</v>
      </c>
      <c r="AN353" s="1">
        <v>544</v>
      </c>
      <c r="AO353" s="1">
        <v>0</v>
      </c>
      <c r="AP353" s="1">
        <v>3.61</v>
      </c>
      <c r="AQ353">
        <v>94</v>
      </c>
      <c r="AR353" s="1">
        <v>677.7</v>
      </c>
      <c r="AS353">
        <v>217</v>
      </c>
      <c r="AT353" s="1">
        <v>1651.97</v>
      </c>
      <c r="AU353">
        <v>13</v>
      </c>
      <c r="AV353" s="1">
        <v>117.81</v>
      </c>
      <c r="AW353">
        <v>5</v>
      </c>
      <c r="AX353" s="1">
        <v>21.37</v>
      </c>
      <c r="AY353">
        <v>40</v>
      </c>
      <c r="AZ353" s="1">
        <v>226.84</v>
      </c>
      <c r="BE353">
        <v>7</v>
      </c>
      <c r="BF353" s="1">
        <v>54.93</v>
      </c>
      <c r="BG353">
        <v>3</v>
      </c>
      <c r="BH353" s="1">
        <v>9.6199999999999992</v>
      </c>
      <c r="BK353">
        <v>6</v>
      </c>
      <c r="BL353" s="1">
        <v>54.04</v>
      </c>
      <c r="BP353">
        <v>4</v>
      </c>
      <c r="BQ353" s="1">
        <v>61.49</v>
      </c>
      <c r="BR353" s="1">
        <v>22.43</v>
      </c>
      <c r="CA353">
        <v>4</v>
      </c>
      <c r="CB353" s="1">
        <v>56.26</v>
      </c>
      <c r="CG353">
        <v>352</v>
      </c>
      <c r="CH353">
        <v>352</v>
      </c>
    </row>
    <row r="354" spans="1:86" x14ac:dyDescent="0.35">
      <c r="A354">
        <v>353927</v>
      </c>
      <c r="B354" s="2">
        <v>44227</v>
      </c>
      <c r="C354" s="2">
        <v>44227</v>
      </c>
      <c r="D354">
        <v>130</v>
      </c>
      <c r="E354" s="1">
        <v>434.83</v>
      </c>
      <c r="F354" s="1">
        <v>1279.83</v>
      </c>
      <c r="G354" s="1">
        <v>603.52</v>
      </c>
      <c r="H354" s="1">
        <v>693.52</v>
      </c>
      <c r="I354" s="1">
        <v>96.13</v>
      </c>
      <c r="J354" s="1">
        <v>2841.33</v>
      </c>
      <c r="K354" s="1">
        <v>0</v>
      </c>
      <c r="L354">
        <v>402</v>
      </c>
      <c r="M354" s="1">
        <v>0</v>
      </c>
      <c r="N354" s="1">
        <v>2931.08</v>
      </c>
      <c r="O354">
        <v>0</v>
      </c>
      <c r="P354" s="1">
        <v>0</v>
      </c>
      <c r="Q354">
        <v>4</v>
      </c>
      <c r="R354" s="1">
        <v>5.29</v>
      </c>
      <c r="S354">
        <v>29</v>
      </c>
      <c r="T354" s="1">
        <v>45.99</v>
      </c>
      <c r="U354" s="1">
        <v>38.47</v>
      </c>
      <c r="V354">
        <v>3</v>
      </c>
      <c r="W354" s="1">
        <v>25</v>
      </c>
      <c r="X354">
        <v>13</v>
      </c>
      <c r="Y354" s="1">
        <v>0</v>
      </c>
      <c r="Z354">
        <v>87</v>
      </c>
      <c r="AA354" s="1">
        <v>225.25</v>
      </c>
      <c r="AB354">
        <v>13</v>
      </c>
      <c r="AC354" s="1">
        <v>27.18</v>
      </c>
      <c r="AD354">
        <v>3</v>
      </c>
      <c r="AE354" s="1">
        <v>2.85</v>
      </c>
      <c r="AF354" s="1">
        <v>0</v>
      </c>
      <c r="AG354" s="1">
        <v>0</v>
      </c>
      <c r="AH354" s="1">
        <v>0</v>
      </c>
      <c r="AI354" s="1">
        <v>0</v>
      </c>
      <c r="AJ354" s="1">
        <v>170.32</v>
      </c>
      <c r="AL354" s="1">
        <v>2841.33</v>
      </c>
      <c r="AM354" s="1">
        <v>0</v>
      </c>
      <c r="AN354" s="1">
        <v>664</v>
      </c>
      <c r="AO354" s="1">
        <v>19.5</v>
      </c>
      <c r="AP354" s="1">
        <v>-16.440000000000001</v>
      </c>
      <c r="AQ354">
        <v>60</v>
      </c>
      <c r="AR354" s="1">
        <v>465.95</v>
      </c>
      <c r="AS354">
        <v>185</v>
      </c>
      <c r="AT354" s="1">
        <v>1416.24</v>
      </c>
      <c r="AU354">
        <v>3</v>
      </c>
      <c r="AV354" s="1">
        <v>41.88</v>
      </c>
      <c r="AW354">
        <v>4</v>
      </c>
      <c r="AX354" s="1">
        <v>28.63</v>
      </c>
      <c r="AY354">
        <v>34</v>
      </c>
      <c r="AZ354" s="1">
        <v>159.85</v>
      </c>
      <c r="BE354">
        <v>7</v>
      </c>
      <c r="BF354" s="1">
        <v>37.14</v>
      </c>
      <c r="BK354">
        <v>3</v>
      </c>
      <c r="BL354" s="1">
        <v>27.75</v>
      </c>
      <c r="BP354">
        <v>6</v>
      </c>
      <c r="BQ354" s="1">
        <v>113.94</v>
      </c>
      <c r="BR354" s="1">
        <v>107.49</v>
      </c>
      <c r="CA354">
        <v>4</v>
      </c>
      <c r="CB354" s="1">
        <v>45.33</v>
      </c>
      <c r="CG354">
        <v>353</v>
      </c>
      <c r="CH354">
        <v>353</v>
      </c>
    </row>
    <row r="355" spans="1:86" x14ac:dyDescent="0.35">
      <c r="A355">
        <v>354030</v>
      </c>
      <c r="B355" s="2">
        <v>44227</v>
      </c>
      <c r="C355" s="2">
        <v>44227</v>
      </c>
      <c r="D355">
        <v>130</v>
      </c>
      <c r="E355" s="1">
        <v>445.47</v>
      </c>
      <c r="F355" s="1">
        <v>1341.08</v>
      </c>
      <c r="G355" s="1">
        <v>1069.29</v>
      </c>
      <c r="H355" s="1">
        <v>670.48</v>
      </c>
      <c r="I355" s="1">
        <v>120.73</v>
      </c>
      <c r="J355" s="1">
        <v>3383.89</v>
      </c>
      <c r="K355" s="1">
        <v>201.71</v>
      </c>
      <c r="L355">
        <v>465</v>
      </c>
      <c r="M355" s="1">
        <v>206.09</v>
      </c>
      <c r="N355" s="1">
        <v>3544.77</v>
      </c>
      <c r="O355">
        <v>1</v>
      </c>
      <c r="P355" s="1">
        <v>2.59</v>
      </c>
      <c r="Q355">
        <v>2</v>
      </c>
      <c r="R355" s="1">
        <v>0.59</v>
      </c>
      <c r="S355">
        <v>39</v>
      </c>
      <c r="T355" s="1">
        <v>81.88</v>
      </c>
      <c r="U355" s="1">
        <v>80.2</v>
      </c>
      <c r="V355">
        <v>1</v>
      </c>
      <c r="W355" s="1">
        <v>10</v>
      </c>
      <c r="X355">
        <v>12</v>
      </c>
      <c r="Y355" s="1">
        <v>0</v>
      </c>
      <c r="Z355">
        <v>87</v>
      </c>
      <c r="AA355" s="1">
        <v>269.66000000000003</v>
      </c>
      <c r="AB355">
        <v>7</v>
      </c>
      <c r="AC355" s="1">
        <v>36.53</v>
      </c>
      <c r="AD355">
        <v>4</v>
      </c>
      <c r="AE355" s="1">
        <v>24.91</v>
      </c>
      <c r="AF355" s="1">
        <v>0</v>
      </c>
      <c r="AG355" s="1">
        <v>0</v>
      </c>
      <c r="AH355" s="1">
        <v>0</v>
      </c>
      <c r="AI355" s="1">
        <v>0</v>
      </c>
      <c r="AJ355" s="1">
        <v>215.08</v>
      </c>
      <c r="AL355" s="1">
        <v>3585.6</v>
      </c>
      <c r="AM355" s="1">
        <v>0</v>
      </c>
      <c r="AN355" s="1">
        <v>619</v>
      </c>
      <c r="AO355" s="1">
        <v>0</v>
      </c>
      <c r="AP355" s="1">
        <v>7.75</v>
      </c>
      <c r="AQ355">
        <v>61</v>
      </c>
      <c r="AR355" s="1">
        <v>471.53</v>
      </c>
      <c r="AS355">
        <v>208</v>
      </c>
      <c r="AT355" s="1">
        <v>1894.71</v>
      </c>
      <c r="AU355">
        <v>14</v>
      </c>
      <c r="AV355" s="1">
        <v>119.97</v>
      </c>
      <c r="AW355">
        <v>2</v>
      </c>
      <c r="AX355" s="1">
        <v>12.46</v>
      </c>
      <c r="AY355">
        <v>57</v>
      </c>
      <c r="AZ355" s="1">
        <v>300.64999999999998</v>
      </c>
      <c r="BE355">
        <v>19</v>
      </c>
      <c r="BF355" s="1">
        <v>166.29</v>
      </c>
      <c r="BG355">
        <v>1</v>
      </c>
      <c r="BH355" s="1">
        <v>4.2300000000000004</v>
      </c>
      <c r="BK355">
        <v>10</v>
      </c>
      <c r="BL355" s="1">
        <v>131.88999999999999</v>
      </c>
      <c r="BP355">
        <v>6</v>
      </c>
      <c r="BQ355" s="1">
        <v>72.03</v>
      </c>
      <c r="BR355" s="1">
        <v>56.78</v>
      </c>
      <c r="CA355">
        <v>3</v>
      </c>
      <c r="CB355" s="1">
        <v>25.67</v>
      </c>
      <c r="CG355">
        <v>354</v>
      </c>
      <c r="CH355">
        <v>354</v>
      </c>
    </row>
    <row r="356" spans="1:86" x14ac:dyDescent="0.35">
      <c r="A356">
        <v>350432</v>
      </c>
      <c r="B356" s="2">
        <v>44228</v>
      </c>
      <c r="C356" s="2">
        <v>44228</v>
      </c>
      <c r="D356">
        <v>167</v>
      </c>
      <c r="E356" s="1">
        <v>552.96</v>
      </c>
      <c r="F356" s="1">
        <v>1808.27</v>
      </c>
      <c r="G356" s="1">
        <v>481.3</v>
      </c>
      <c r="H356" s="1">
        <v>901.07</v>
      </c>
      <c r="I356" s="1">
        <v>109.4</v>
      </c>
      <c r="J356" s="1">
        <v>3591.31</v>
      </c>
      <c r="K356" s="1">
        <v>412.19</v>
      </c>
      <c r="L356">
        <v>754</v>
      </c>
      <c r="M356" s="1">
        <v>414.38</v>
      </c>
      <c r="N356" s="1">
        <v>3898.41</v>
      </c>
      <c r="O356">
        <v>2</v>
      </c>
      <c r="P356" s="1">
        <v>9.16</v>
      </c>
      <c r="Q356">
        <v>11</v>
      </c>
      <c r="R356" s="1">
        <v>6.34</v>
      </c>
      <c r="S356">
        <v>118</v>
      </c>
      <c r="T356" s="1">
        <v>252.76</v>
      </c>
      <c r="U356" s="1">
        <v>41.03</v>
      </c>
      <c r="V356">
        <v>0</v>
      </c>
      <c r="W356" s="1">
        <v>0</v>
      </c>
      <c r="X356">
        <v>17</v>
      </c>
      <c r="Y356" s="1">
        <v>0</v>
      </c>
      <c r="Z356">
        <v>101</v>
      </c>
      <c r="AA356" s="1">
        <v>331.21</v>
      </c>
      <c r="AB356">
        <v>19</v>
      </c>
      <c r="AC356" s="1">
        <v>43.32</v>
      </c>
      <c r="AD356">
        <v>5</v>
      </c>
      <c r="AE356" s="1">
        <v>7.6</v>
      </c>
      <c r="AF356" s="1">
        <v>1</v>
      </c>
      <c r="AG356" s="1">
        <v>1</v>
      </c>
      <c r="AH356" s="1">
        <v>0</v>
      </c>
      <c r="AI356" s="1">
        <v>0</v>
      </c>
      <c r="AJ356" s="1">
        <v>0</v>
      </c>
      <c r="AL356" s="1">
        <v>4003.5</v>
      </c>
      <c r="AM356" s="1">
        <v>1</v>
      </c>
      <c r="AN356" s="1">
        <v>0</v>
      </c>
      <c r="AO356" s="1">
        <v>0</v>
      </c>
      <c r="AP356" s="1">
        <v>0</v>
      </c>
      <c r="AQ356">
        <v>79</v>
      </c>
      <c r="AR356" s="1">
        <v>514.85</v>
      </c>
      <c r="AS356">
        <v>276</v>
      </c>
      <c r="AT356" s="1">
        <v>1715.91</v>
      </c>
      <c r="AU356">
        <v>42</v>
      </c>
      <c r="AV356" s="1">
        <v>312.3</v>
      </c>
      <c r="AW356">
        <v>8</v>
      </c>
      <c r="AX356" s="1">
        <v>60.07</v>
      </c>
      <c r="AY356">
        <v>74</v>
      </c>
      <c r="AZ356" s="1">
        <v>314.75</v>
      </c>
      <c r="BO356" s="1">
        <v>26.81</v>
      </c>
      <c r="BR356" s="1">
        <v>95.03</v>
      </c>
      <c r="CG356">
        <v>355</v>
      </c>
      <c r="CH356">
        <v>355</v>
      </c>
    </row>
    <row r="357" spans="1:86" x14ac:dyDescent="0.35">
      <c r="A357">
        <v>350437</v>
      </c>
      <c r="B357" s="2">
        <v>44228</v>
      </c>
      <c r="C357" s="2">
        <v>44228</v>
      </c>
      <c r="D357">
        <v>91</v>
      </c>
      <c r="E357" s="1">
        <v>295.73</v>
      </c>
      <c r="F357" s="1">
        <v>1034.4000000000001</v>
      </c>
      <c r="G357" s="1">
        <v>456.65</v>
      </c>
      <c r="H357" s="1">
        <v>504.77</v>
      </c>
      <c r="I357" s="1">
        <v>87.6</v>
      </c>
      <c r="J357" s="1">
        <v>2217.2800000000002</v>
      </c>
      <c r="K357" s="1">
        <v>0</v>
      </c>
      <c r="L357">
        <v>427</v>
      </c>
      <c r="M357" s="1">
        <v>0</v>
      </c>
      <c r="N357" s="1">
        <v>2371.41</v>
      </c>
      <c r="O357">
        <v>1</v>
      </c>
      <c r="P357" s="1">
        <v>14.17</v>
      </c>
      <c r="Q357">
        <v>2</v>
      </c>
      <c r="R357" s="1">
        <v>0.7</v>
      </c>
      <c r="S357">
        <v>52</v>
      </c>
      <c r="T357" s="1">
        <v>115.28</v>
      </c>
      <c r="U357" s="1">
        <v>23.98</v>
      </c>
      <c r="V357">
        <v>0</v>
      </c>
      <c r="W357" s="1">
        <v>0</v>
      </c>
      <c r="X357">
        <v>11</v>
      </c>
      <c r="Y357" s="1">
        <v>0</v>
      </c>
      <c r="Z357">
        <v>88</v>
      </c>
      <c r="AA357" s="1">
        <v>215.53</v>
      </c>
      <c r="AB357">
        <v>2</v>
      </c>
      <c r="AC357" s="1">
        <v>14.48</v>
      </c>
      <c r="AD357">
        <v>3</v>
      </c>
      <c r="AE357" s="1">
        <v>0</v>
      </c>
      <c r="AF357" s="1">
        <v>0</v>
      </c>
      <c r="AG357" s="1">
        <v>0</v>
      </c>
      <c r="AH357" s="1">
        <v>0</v>
      </c>
      <c r="AI357" s="1">
        <v>0</v>
      </c>
      <c r="AJ357" s="1">
        <v>0</v>
      </c>
      <c r="AL357" s="1">
        <v>2217.2800000000002</v>
      </c>
      <c r="AM357" s="1">
        <v>0</v>
      </c>
      <c r="AN357" s="1">
        <v>0</v>
      </c>
      <c r="AO357" s="1">
        <v>0</v>
      </c>
      <c r="AP357" s="1">
        <v>0</v>
      </c>
      <c r="AQ357">
        <v>50</v>
      </c>
      <c r="AR357" s="1">
        <v>307.37</v>
      </c>
      <c r="AS357">
        <v>161</v>
      </c>
      <c r="AT357" s="1">
        <v>1040.74</v>
      </c>
      <c r="AU357">
        <v>34</v>
      </c>
      <c r="AV357" s="1">
        <v>235.44</v>
      </c>
      <c r="AW357">
        <v>5</v>
      </c>
      <c r="AX357" s="1">
        <v>32.99</v>
      </c>
      <c r="AY357">
        <v>47</v>
      </c>
      <c r="AZ357" s="1">
        <v>195.96</v>
      </c>
      <c r="BR357" s="1">
        <v>10.67</v>
      </c>
      <c r="CG357">
        <v>356</v>
      </c>
      <c r="CH357">
        <v>356</v>
      </c>
    </row>
    <row r="358" spans="1:86" x14ac:dyDescent="0.35">
      <c r="A358">
        <v>351323</v>
      </c>
      <c r="B358" s="2">
        <v>44228</v>
      </c>
      <c r="C358" s="2">
        <v>44228</v>
      </c>
      <c r="D358">
        <v>133</v>
      </c>
      <c r="E358" s="1">
        <v>481.1</v>
      </c>
      <c r="F358" s="1">
        <v>1534.99</v>
      </c>
      <c r="G358" s="1">
        <v>485.11</v>
      </c>
      <c r="H358" s="1">
        <v>679.6</v>
      </c>
      <c r="I358" s="1">
        <v>115.48</v>
      </c>
      <c r="J358" s="1">
        <v>2958.23</v>
      </c>
      <c r="K358" s="1">
        <v>97.06</v>
      </c>
      <c r="L358">
        <v>615</v>
      </c>
      <c r="M358" s="1">
        <v>100.56</v>
      </c>
      <c r="N358" s="1">
        <v>3181.76</v>
      </c>
      <c r="O358">
        <v>1</v>
      </c>
      <c r="P358" s="1">
        <v>17.96</v>
      </c>
      <c r="Q358">
        <v>5</v>
      </c>
      <c r="R358" s="1">
        <v>4.43</v>
      </c>
      <c r="S358">
        <v>87</v>
      </c>
      <c r="T358" s="1">
        <v>163.56</v>
      </c>
      <c r="U358" s="1">
        <v>41.08</v>
      </c>
      <c r="V358">
        <v>0</v>
      </c>
      <c r="W358" s="1">
        <v>0</v>
      </c>
      <c r="X358">
        <v>9</v>
      </c>
      <c r="Y358" s="1">
        <v>0</v>
      </c>
      <c r="Z358">
        <v>86</v>
      </c>
      <c r="AA358" s="1">
        <v>269.41000000000003</v>
      </c>
      <c r="AB358">
        <v>20</v>
      </c>
      <c r="AC358" s="1">
        <v>51.1</v>
      </c>
      <c r="AD358">
        <v>1</v>
      </c>
      <c r="AE358" s="1">
        <v>0</v>
      </c>
      <c r="AF358" s="1">
        <v>0</v>
      </c>
      <c r="AG358" s="1">
        <v>0</v>
      </c>
      <c r="AH358" s="1">
        <v>0</v>
      </c>
      <c r="AI358" s="1">
        <v>0</v>
      </c>
      <c r="AJ358" s="1">
        <v>0</v>
      </c>
      <c r="AL358" s="1">
        <v>3055.29</v>
      </c>
      <c r="AM358" s="1">
        <v>0</v>
      </c>
      <c r="AN358" s="1">
        <v>0</v>
      </c>
      <c r="AO358" s="1">
        <v>0</v>
      </c>
      <c r="AP358" s="1">
        <v>0</v>
      </c>
      <c r="AQ358">
        <v>89</v>
      </c>
      <c r="AR358" s="1">
        <v>540.04</v>
      </c>
      <c r="AS358">
        <v>246</v>
      </c>
      <c r="AT358" s="1">
        <v>1410.43</v>
      </c>
      <c r="AU358">
        <v>16</v>
      </c>
      <c r="AV358" s="1">
        <v>109.11</v>
      </c>
      <c r="AW358">
        <v>5</v>
      </c>
      <c r="AX358" s="1">
        <v>32.93</v>
      </c>
      <c r="AY358">
        <v>79</v>
      </c>
      <c r="AZ358" s="1">
        <v>315.58999999999997</v>
      </c>
      <c r="BR358" s="1">
        <v>2.59</v>
      </c>
      <c r="CG358">
        <v>357</v>
      </c>
      <c r="CH358">
        <v>357</v>
      </c>
    </row>
    <row r="359" spans="1:86" x14ac:dyDescent="0.35">
      <c r="A359">
        <v>353927</v>
      </c>
      <c r="B359" s="2">
        <v>44228</v>
      </c>
      <c r="C359" s="2">
        <v>44228</v>
      </c>
      <c r="D359">
        <v>154</v>
      </c>
      <c r="E359" s="1">
        <v>513.05999999999995</v>
      </c>
      <c r="F359" s="1">
        <v>1629.59</v>
      </c>
      <c r="G359" s="1">
        <v>541.44000000000005</v>
      </c>
      <c r="H359" s="1">
        <v>810.36</v>
      </c>
      <c r="I359" s="1">
        <v>97.47</v>
      </c>
      <c r="J359" s="1">
        <v>3221.49</v>
      </c>
      <c r="K359" s="1">
        <v>0</v>
      </c>
      <c r="L359">
        <v>608</v>
      </c>
      <c r="M359" s="1">
        <v>0</v>
      </c>
      <c r="N359" s="1">
        <v>3415.86</v>
      </c>
      <c r="O359">
        <v>3</v>
      </c>
      <c r="P359" s="1">
        <v>11.18</v>
      </c>
      <c r="Q359">
        <v>11</v>
      </c>
      <c r="R359" s="1">
        <v>11.67</v>
      </c>
      <c r="S359">
        <v>72</v>
      </c>
      <c r="T359" s="1">
        <v>128.72</v>
      </c>
      <c r="U359" s="1">
        <v>42.8</v>
      </c>
      <c r="V359">
        <v>0</v>
      </c>
      <c r="W359" s="1">
        <v>0</v>
      </c>
      <c r="X359">
        <v>18</v>
      </c>
      <c r="Y359" s="1">
        <v>0</v>
      </c>
      <c r="Z359">
        <v>106</v>
      </c>
      <c r="AA359" s="1">
        <v>278</v>
      </c>
      <c r="AB359">
        <v>12</v>
      </c>
      <c r="AC359" s="1">
        <v>29.98</v>
      </c>
      <c r="AD359">
        <v>4</v>
      </c>
      <c r="AE359" s="1">
        <v>5.6</v>
      </c>
      <c r="AF359" s="1">
        <v>1</v>
      </c>
      <c r="AG359" s="1">
        <v>1</v>
      </c>
      <c r="AH359" s="1">
        <v>0</v>
      </c>
      <c r="AI359" s="1">
        <v>0</v>
      </c>
      <c r="AJ359" s="1">
        <v>0</v>
      </c>
      <c r="AL359" s="1">
        <v>3221.49</v>
      </c>
      <c r="AM359" s="1">
        <v>1</v>
      </c>
      <c r="AN359" s="1">
        <v>0</v>
      </c>
      <c r="AO359" s="1">
        <v>0</v>
      </c>
      <c r="AP359" s="1">
        <v>0</v>
      </c>
      <c r="AQ359">
        <v>99</v>
      </c>
      <c r="AR359" s="1">
        <v>648.96</v>
      </c>
      <c r="AS359">
        <v>222</v>
      </c>
      <c r="AT359" s="1">
        <v>1347.75</v>
      </c>
      <c r="AU359">
        <v>14</v>
      </c>
      <c r="AV359" s="1">
        <v>75.95</v>
      </c>
      <c r="AW359">
        <v>7</v>
      </c>
      <c r="AX359" s="1">
        <v>46.56</v>
      </c>
      <c r="AY359">
        <v>61</v>
      </c>
      <c r="AZ359" s="1">
        <v>267.19</v>
      </c>
      <c r="BR359" s="1">
        <v>67.540000000000006</v>
      </c>
      <c r="CG359">
        <v>358</v>
      </c>
      <c r="CH359">
        <v>358</v>
      </c>
    </row>
    <row r="360" spans="1:86" x14ac:dyDescent="0.35">
      <c r="A360">
        <v>354030</v>
      </c>
      <c r="B360" s="2">
        <v>44228</v>
      </c>
      <c r="C360" s="2">
        <v>44228</v>
      </c>
      <c r="D360">
        <v>91</v>
      </c>
      <c r="E360" s="1">
        <v>284.79000000000002</v>
      </c>
      <c r="F360" s="1">
        <v>1155.6600000000001</v>
      </c>
      <c r="G360" s="1">
        <v>427.47</v>
      </c>
      <c r="H360" s="1">
        <v>525.76</v>
      </c>
      <c r="I360" s="1">
        <v>86.47</v>
      </c>
      <c r="J360" s="1">
        <v>2348.4699999999998</v>
      </c>
      <c r="K360" s="1">
        <v>121.64</v>
      </c>
      <c r="L360">
        <v>465</v>
      </c>
      <c r="M360" s="1">
        <v>123.83</v>
      </c>
      <c r="N360" s="1">
        <v>2617.02</v>
      </c>
      <c r="O360">
        <v>2</v>
      </c>
      <c r="P360" s="1">
        <v>7.97</v>
      </c>
      <c r="Q360">
        <v>2</v>
      </c>
      <c r="R360" s="1">
        <v>0.25</v>
      </c>
      <c r="S360">
        <v>95</v>
      </c>
      <c r="T360" s="1">
        <v>214.91</v>
      </c>
      <c r="U360" s="1">
        <v>47.61</v>
      </c>
      <c r="V360">
        <v>2</v>
      </c>
      <c r="W360" s="1">
        <v>20</v>
      </c>
      <c r="X360">
        <v>20</v>
      </c>
      <c r="Y360" s="1">
        <v>0</v>
      </c>
      <c r="Z360">
        <v>71</v>
      </c>
      <c r="AA360" s="1">
        <v>212.49</v>
      </c>
      <c r="AB360">
        <v>17</v>
      </c>
      <c r="AC360" s="1">
        <v>36.93</v>
      </c>
      <c r="AD360">
        <v>11</v>
      </c>
      <c r="AE360" s="1">
        <v>59.64</v>
      </c>
      <c r="AF360" s="1">
        <v>0</v>
      </c>
      <c r="AG360" s="1">
        <v>0</v>
      </c>
      <c r="AH360" s="1">
        <v>0</v>
      </c>
      <c r="AI360" s="1">
        <v>0</v>
      </c>
      <c r="AJ360" s="1">
        <v>0</v>
      </c>
      <c r="AL360" s="1">
        <v>2470.11</v>
      </c>
      <c r="AM360" s="1">
        <v>0</v>
      </c>
      <c r="AN360" s="1">
        <v>0</v>
      </c>
      <c r="AO360" s="1">
        <v>0</v>
      </c>
      <c r="AP360" s="1">
        <v>0</v>
      </c>
      <c r="AQ360">
        <v>72</v>
      </c>
      <c r="AR360" s="1">
        <v>463.96</v>
      </c>
      <c r="AS360">
        <v>175</v>
      </c>
      <c r="AT360" s="1">
        <v>1158.1300000000001</v>
      </c>
      <c r="AU360">
        <v>17</v>
      </c>
      <c r="AV360" s="1">
        <v>83.82</v>
      </c>
      <c r="AW360">
        <v>7</v>
      </c>
      <c r="AX360" s="1">
        <v>40.76</v>
      </c>
      <c r="AY360">
        <v>57</v>
      </c>
      <c r="AZ360" s="1">
        <v>224.93</v>
      </c>
      <c r="CG360">
        <v>359</v>
      </c>
      <c r="CH360">
        <v>359</v>
      </c>
    </row>
    <row r="361" spans="1:86" x14ac:dyDescent="0.35">
      <c r="A361">
        <v>355439</v>
      </c>
      <c r="B361" s="2">
        <v>44228</v>
      </c>
      <c r="C361" s="2">
        <v>44228</v>
      </c>
      <c r="D361">
        <v>180</v>
      </c>
      <c r="E361">
        <v>630.9</v>
      </c>
      <c r="F361">
        <v>2102.9499999999998</v>
      </c>
      <c r="G361">
        <v>651.98</v>
      </c>
      <c r="H361">
        <v>905.29</v>
      </c>
      <c r="I361">
        <v>134.97999999999999</v>
      </c>
      <c r="J361">
        <v>3753.7200000000003</v>
      </c>
      <c r="L361">
        <v>708</v>
      </c>
      <c r="N361">
        <v>3996.55</v>
      </c>
      <c r="O361">
        <v>0</v>
      </c>
      <c r="P361">
        <v>0</v>
      </c>
      <c r="V361">
        <v>5</v>
      </c>
      <c r="W361">
        <v>85</v>
      </c>
      <c r="X361">
        <v>0</v>
      </c>
      <c r="Y361">
        <v>0</v>
      </c>
      <c r="Z361">
        <v>105</v>
      </c>
      <c r="AA361">
        <v>226.32</v>
      </c>
      <c r="AB361">
        <v>23</v>
      </c>
      <c r="AC361">
        <v>122.64</v>
      </c>
      <c r="AD361">
        <v>32</v>
      </c>
      <c r="AE361">
        <v>37.380000000000003</v>
      </c>
      <c r="AH361">
        <v>0</v>
      </c>
      <c r="AJ361">
        <v>300.77</v>
      </c>
      <c r="AN361">
        <v>709.88</v>
      </c>
      <c r="AO361">
        <v>0</v>
      </c>
      <c r="AP361">
        <v>-7.6900000000000546</v>
      </c>
      <c r="AQ361">
        <v>96</v>
      </c>
      <c r="AR361">
        <v>610.51</v>
      </c>
      <c r="AS361">
        <v>295</v>
      </c>
      <c r="AT361">
        <v>1948.3</v>
      </c>
      <c r="AU361">
        <v>30</v>
      </c>
      <c r="AV361">
        <v>185.67</v>
      </c>
      <c r="AW361">
        <v>6</v>
      </c>
      <c r="AX361">
        <v>36</v>
      </c>
      <c r="AY361">
        <v>92</v>
      </c>
      <c r="AZ361">
        <v>409.54</v>
      </c>
      <c r="BP361">
        <v>2</v>
      </c>
      <c r="BQ361">
        <v>18.600000000000001</v>
      </c>
      <c r="BR361">
        <v>17.22</v>
      </c>
      <c r="BS361">
        <v>3752.97</v>
      </c>
      <c r="BV361">
        <v>0</v>
      </c>
      <c r="BW361">
        <v>0</v>
      </c>
      <c r="CA361">
        <v>14</v>
      </c>
      <c r="CB361">
        <v>213.35</v>
      </c>
      <c r="CG361">
        <v>360</v>
      </c>
      <c r="CH361">
        <v>360</v>
      </c>
    </row>
    <row r="362" spans="1:86" x14ac:dyDescent="0.35">
      <c r="A362">
        <v>352613</v>
      </c>
      <c r="B362" s="2">
        <v>44228</v>
      </c>
      <c r="C362" s="2">
        <v>44228</v>
      </c>
      <c r="D362">
        <v>112</v>
      </c>
      <c r="E362">
        <v>395.78</v>
      </c>
      <c r="F362">
        <v>1763.64</v>
      </c>
      <c r="G362">
        <v>590.07000000000005</v>
      </c>
      <c r="H362">
        <v>703.75</v>
      </c>
      <c r="I362">
        <v>179.04</v>
      </c>
      <c r="J362">
        <v>3271.0899999999997</v>
      </c>
      <c r="K362">
        <v>202.85</v>
      </c>
      <c r="L362">
        <v>669</v>
      </c>
      <c r="M362">
        <v>206.43</v>
      </c>
      <c r="N362">
        <v>3474.6499999999996</v>
      </c>
      <c r="O362">
        <v>1</v>
      </c>
      <c r="P362">
        <v>6.99</v>
      </c>
      <c r="R362">
        <v>207.14000000000001</v>
      </c>
      <c r="V362">
        <v>3</v>
      </c>
      <c r="W362">
        <v>60</v>
      </c>
      <c r="X362">
        <v>0</v>
      </c>
      <c r="Y362">
        <v>0</v>
      </c>
      <c r="Z362">
        <v>97</v>
      </c>
      <c r="AA362">
        <v>189.2</v>
      </c>
      <c r="AB362">
        <v>0</v>
      </c>
      <c r="AC362">
        <v>0</v>
      </c>
      <c r="AD362">
        <v>54</v>
      </c>
      <c r="AE362">
        <v>69.180000000000007</v>
      </c>
      <c r="AH362">
        <v>0</v>
      </c>
      <c r="AJ362">
        <v>278.29000000000002</v>
      </c>
      <c r="AN362">
        <v>1032</v>
      </c>
      <c r="AO362">
        <v>0</v>
      </c>
      <c r="AP362">
        <v>-1.1300000000001091</v>
      </c>
      <c r="AQ362">
        <v>73</v>
      </c>
      <c r="AR362">
        <v>429.25</v>
      </c>
      <c r="AS362">
        <v>282</v>
      </c>
      <c r="AT362">
        <v>1806.38</v>
      </c>
      <c r="AU362">
        <v>13</v>
      </c>
      <c r="AV362">
        <v>63.71</v>
      </c>
      <c r="AW362">
        <v>5</v>
      </c>
      <c r="AX362">
        <v>22.14</v>
      </c>
      <c r="AY362">
        <v>69</v>
      </c>
      <c r="AZ362">
        <v>240.12</v>
      </c>
      <c r="BP362">
        <v>11</v>
      </c>
      <c r="BQ362">
        <v>139.35</v>
      </c>
      <c r="BR362">
        <v>129.03</v>
      </c>
      <c r="BS362">
        <v>3469.36</v>
      </c>
      <c r="BV362">
        <v>4.0799999999999272</v>
      </c>
      <c r="BW362">
        <v>4.08</v>
      </c>
      <c r="CA362">
        <v>5</v>
      </c>
      <c r="CB362">
        <v>60.93</v>
      </c>
      <c r="CE362">
        <v>1</v>
      </c>
      <c r="CF362">
        <v>17.27</v>
      </c>
      <c r="CG362">
        <v>361</v>
      </c>
      <c r="CH362">
        <v>361</v>
      </c>
    </row>
    <row r="363" spans="1:86" x14ac:dyDescent="0.35">
      <c r="A363">
        <v>357150</v>
      </c>
      <c r="B363" s="2">
        <v>44228</v>
      </c>
      <c r="C363" s="2">
        <v>44228</v>
      </c>
      <c r="D363">
        <v>148</v>
      </c>
      <c r="E363">
        <v>526.12</v>
      </c>
      <c r="F363">
        <v>1688.47</v>
      </c>
      <c r="G363">
        <v>441.04</v>
      </c>
      <c r="H363">
        <v>438.64</v>
      </c>
      <c r="I363">
        <v>94.52</v>
      </c>
      <c r="J363">
        <v>2659.1</v>
      </c>
      <c r="K363">
        <v>150.38999999999999</v>
      </c>
      <c r="L363">
        <v>504</v>
      </c>
      <c r="M363">
        <v>154.04999999999998</v>
      </c>
      <c r="N363">
        <v>2859.41</v>
      </c>
      <c r="O363">
        <v>0</v>
      </c>
      <c r="P363">
        <v>0</v>
      </c>
      <c r="R363">
        <v>203.97</v>
      </c>
      <c r="V363">
        <v>1</v>
      </c>
      <c r="W363">
        <v>5</v>
      </c>
      <c r="X363">
        <v>0</v>
      </c>
      <c r="Y363">
        <v>0</v>
      </c>
      <c r="Z363">
        <v>40</v>
      </c>
      <c r="AA363">
        <v>120.07</v>
      </c>
      <c r="AB363">
        <v>6</v>
      </c>
      <c r="AC363">
        <v>47.9</v>
      </c>
      <c r="AD363">
        <v>30</v>
      </c>
      <c r="AE363">
        <v>43.74</v>
      </c>
      <c r="AH363">
        <v>0</v>
      </c>
      <c r="AJ363">
        <v>224.92</v>
      </c>
      <c r="AN363">
        <v>0</v>
      </c>
      <c r="AO363">
        <v>0</v>
      </c>
      <c r="AP363">
        <v>-808.31</v>
      </c>
      <c r="AQ363">
        <v>88</v>
      </c>
      <c r="AR363">
        <v>535.6</v>
      </c>
      <c r="AS363">
        <v>194</v>
      </c>
      <c r="AT363">
        <v>1301.77</v>
      </c>
      <c r="AU363">
        <v>12</v>
      </c>
      <c r="AV363">
        <v>95.75</v>
      </c>
      <c r="AY363">
        <v>65</v>
      </c>
      <c r="AZ363">
        <v>297.98</v>
      </c>
      <c r="BS363">
        <v>2809.49</v>
      </c>
      <c r="BV363">
        <v>0</v>
      </c>
      <c r="BW363">
        <v>0</v>
      </c>
      <c r="CG363">
        <v>362</v>
      </c>
      <c r="CH363">
        <v>362</v>
      </c>
    </row>
    <row r="364" spans="1:86" x14ac:dyDescent="0.35">
      <c r="A364">
        <v>358682</v>
      </c>
      <c r="B364" s="2">
        <v>44228</v>
      </c>
      <c r="C364" s="2">
        <v>44228</v>
      </c>
      <c r="D364">
        <v>77</v>
      </c>
      <c r="E364">
        <v>272.13</v>
      </c>
      <c r="F364">
        <v>1169.7099999999998</v>
      </c>
      <c r="G364">
        <v>198.32</v>
      </c>
      <c r="H364">
        <v>729.81</v>
      </c>
      <c r="I364">
        <v>103.77</v>
      </c>
      <c r="J364">
        <v>2179.4899999999998</v>
      </c>
      <c r="K364">
        <v>52.789999999999992</v>
      </c>
      <c r="L364">
        <v>386</v>
      </c>
      <c r="M364">
        <v>60.879999999999995</v>
      </c>
      <c r="N364">
        <v>2354.66</v>
      </c>
      <c r="O364">
        <v>0</v>
      </c>
      <c r="P364">
        <v>0</v>
      </c>
      <c r="R364">
        <v>183.26</v>
      </c>
      <c r="V364">
        <v>2</v>
      </c>
      <c r="W364">
        <v>20</v>
      </c>
      <c r="X364">
        <v>0</v>
      </c>
      <c r="Y364">
        <v>0</v>
      </c>
      <c r="Z364">
        <v>47</v>
      </c>
      <c r="AA364">
        <v>113.53</v>
      </c>
      <c r="AB364">
        <v>7</v>
      </c>
      <c r="AC364">
        <v>43.5</v>
      </c>
      <c r="AD364">
        <v>14</v>
      </c>
      <c r="AE364">
        <v>17.79</v>
      </c>
      <c r="AH364">
        <v>0</v>
      </c>
      <c r="AJ364">
        <v>197.97</v>
      </c>
      <c r="AN364">
        <v>594.02</v>
      </c>
      <c r="AO364">
        <v>0</v>
      </c>
      <c r="AP364">
        <v>3.1100000000000136</v>
      </c>
      <c r="AQ364">
        <v>51</v>
      </c>
      <c r="AR364">
        <v>358.24</v>
      </c>
      <c r="AS364">
        <v>160</v>
      </c>
      <c r="AT364">
        <v>955.94</v>
      </c>
      <c r="AU364">
        <v>19</v>
      </c>
      <c r="AV364">
        <v>147.68</v>
      </c>
      <c r="AW364">
        <v>6</v>
      </c>
      <c r="AX364">
        <v>40.96</v>
      </c>
      <c r="AY364">
        <v>58</v>
      </c>
      <c r="AZ364">
        <v>260.61</v>
      </c>
      <c r="BP364">
        <v>6</v>
      </c>
      <c r="BQ364">
        <v>75.92</v>
      </c>
      <c r="BR364">
        <v>69.72</v>
      </c>
      <c r="BS364">
        <v>2232.2800000000002</v>
      </c>
      <c r="BV364">
        <v>0</v>
      </c>
      <c r="BW364">
        <v>0</v>
      </c>
      <c r="CA364">
        <v>1</v>
      </c>
      <c r="CB364">
        <v>19.989999999999998</v>
      </c>
      <c r="CG364">
        <v>363</v>
      </c>
      <c r="CH364">
        <v>363</v>
      </c>
    </row>
    <row r="365" spans="1:86" x14ac:dyDescent="0.35">
      <c r="A365">
        <v>359606</v>
      </c>
      <c r="B365" s="2">
        <v>44228</v>
      </c>
      <c r="C365" s="2">
        <v>44228</v>
      </c>
      <c r="D365">
        <v>31</v>
      </c>
      <c r="E365">
        <v>99.789999999999992</v>
      </c>
      <c r="F365">
        <v>518.63</v>
      </c>
      <c r="G365">
        <v>203.35</v>
      </c>
      <c r="H365">
        <v>225.64</v>
      </c>
      <c r="I365">
        <v>50.089999999999996</v>
      </c>
      <c r="J365">
        <v>964.34000000000015</v>
      </c>
      <c r="K365">
        <v>33.159999999999997</v>
      </c>
      <c r="L365">
        <v>210</v>
      </c>
      <c r="M365">
        <v>34.36</v>
      </c>
      <c r="N365">
        <v>1083.2700000000002</v>
      </c>
      <c r="O365">
        <v>0</v>
      </c>
      <c r="P365">
        <v>0</v>
      </c>
      <c r="R365">
        <v>120.13000000000001</v>
      </c>
      <c r="V365">
        <v>0</v>
      </c>
      <c r="W365">
        <v>0</v>
      </c>
      <c r="X365">
        <v>0</v>
      </c>
      <c r="Y365">
        <v>0</v>
      </c>
      <c r="Z365">
        <v>30</v>
      </c>
      <c r="AA365">
        <v>63.89</v>
      </c>
      <c r="AB365">
        <v>7</v>
      </c>
      <c r="AC365">
        <v>54.33</v>
      </c>
      <c r="AD365">
        <v>0</v>
      </c>
      <c r="AE365">
        <v>0</v>
      </c>
      <c r="AH365">
        <v>0</v>
      </c>
      <c r="AJ365">
        <v>88.73</v>
      </c>
      <c r="AN365">
        <v>203</v>
      </c>
      <c r="AO365">
        <v>0</v>
      </c>
      <c r="AP365">
        <v>24.5</v>
      </c>
      <c r="AQ365">
        <v>22</v>
      </c>
      <c r="AR365">
        <v>107.95</v>
      </c>
      <c r="AS365">
        <v>93</v>
      </c>
      <c r="AT365">
        <v>513.41</v>
      </c>
      <c r="AU365">
        <v>16</v>
      </c>
      <c r="AV365">
        <v>67.22</v>
      </c>
      <c r="AW365">
        <v>5</v>
      </c>
      <c r="AX365">
        <v>39.93</v>
      </c>
      <c r="AY365">
        <v>32</v>
      </c>
      <c r="AZ365">
        <v>130.57</v>
      </c>
      <c r="BP365">
        <v>1</v>
      </c>
      <c r="BQ365">
        <v>15.9</v>
      </c>
      <c r="BR365">
        <v>14.6</v>
      </c>
      <c r="BS365">
        <v>997.5</v>
      </c>
      <c r="BV365">
        <v>0</v>
      </c>
      <c r="BW365">
        <v>0</v>
      </c>
      <c r="CA365">
        <v>1</v>
      </c>
      <c r="CB365">
        <v>6.62</v>
      </c>
      <c r="CE365">
        <v>1</v>
      </c>
      <c r="CF365">
        <v>26.13</v>
      </c>
      <c r="CG365">
        <v>364</v>
      </c>
      <c r="CH365">
        <v>364</v>
      </c>
    </row>
    <row r="366" spans="1:86" x14ac:dyDescent="0.35">
      <c r="A366">
        <v>357150</v>
      </c>
      <c r="B366" s="2">
        <v>44227</v>
      </c>
      <c r="C366" s="2">
        <v>44227</v>
      </c>
      <c r="D366">
        <v>169</v>
      </c>
      <c r="E366">
        <v>631.21</v>
      </c>
      <c r="F366">
        <v>1663.7899999999997</v>
      </c>
      <c r="G366">
        <v>533.59</v>
      </c>
      <c r="H366">
        <v>623.80999999999995</v>
      </c>
      <c r="I366">
        <v>109.24000000000001</v>
      </c>
      <c r="J366">
        <v>3180.9300000000003</v>
      </c>
      <c r="K366">
        <v>254.12</v>
      </c>
      <c r="L366">
        <v>456</v>
      </c>
      <c r="M366">
        <v>257.68</v>
      </c>
      <c r="N366">
        <v>3272.88</v>
      </c>
      <c r="O366">
        <v>10</v>
      </c>
      <c r="P366">
        <v>39.4</v>
      </c>
      <c r="R366">
        <v>95.51</v>
      </c>
      <c r="V366">
        <v>3</v>
      </c>
      <c r="W366">
        <v>50</v>
      </c>
      <c r="X366">
        <v>0</v>
      </c>
      <c r="Y366">
        <v>0</v>
      </c>
      <c r="Z366">
        <v>54</v>
      </c>
      <c r="AA366">
        <v>134.88</v>
      </c>
      <c r="AB366">
        <v>4</v>
      </c>
      <c r="AC366">
        <v>39.950000000000003</v>
      </c>
      <c r="AD366">
        <v>29</v>
      </c>
      <c r="AE366">
        <v>64.33</v>
      </c>
      <c r="AH366">
        <v>0</v>
      </c>
      <c r="AJ366">
        <v>274.92</v>
      </c>
      <c r="AN366">
        <v>0</v>
      </c>
      <c r="AO366">
        <v>228.02</v>
      </c>
      <c r="AP366">
        <v>-663.32</v>
      </c>
      <c r="AQ366">
        <v>90</v>
      </c>
      <c r="AR366">
        <v>851.35</v>
      </c>
      <c r="AS366">
        <v>163</v>
      </c>
      <c r="AT366">
        <v>1531.23</v>
      </c>
      <c r="AU366">
        <v>9</v>
      </c>
      <c r="AV366">
        <v>77.5</v>
      </c>
      <c r="AW366">
        <v>2</v>
      </c>
      <c r="AX366">
        <v>23.18</v>
      </c>
      <c r="AY366">
        <v>58</v>
      </c>
      <c r="AZ366">
        <v>385.37</v>
      </c>
      <c r="BS366">
        <v>3435.05</v>
      </c>
      <c r="BV366">
        <v>0</v>
      </c>
      <c r="BW366">
        <v>0</v>
      </c>
      <c r="CG366">
        <v>365</v>
      </c>
      <c r="CH366">
        <v>365</v>
      </c>
    </row>
    <row r="367" spans="1:86" x14ac:dyDescent="0.35">
      <c r="A367">
        <v>358682</v>
      </c>
      <c r="B367" s="2">
        <v>44227</v>
      </c>
      <c r="C367" s="2">
        <v>44227</v>
      </c>
      <c r="D367">
        <v>52</v>
      </c>
      <c r="E367">
        <v>157.98000000000002</v>
      </c>
      <c r="F367">
        <v>674.79000000000008</v>
      </c>
      <c r="G367">
        <v>165.86</v>
      </c>
      <c r="H367">
        <v>417.6</v>
      </c>
      <c r="I367">
        <v>72.069999999999993</v>
      </c>
      <c r="J367">
        <v>1381.8</v>
      </c>
      <c r="K367">
        <v>102.15</v>
      </c>
      <c r="L367">
        <v>222</v>
      </c>
      <c r="M367">
        <v>105.30000000000001</v>
      </c>
      <c r="N367">
        <v>1450.6299999999999</v>
      </c>
      <c r="O367">
        <v>0</v>
      </c>
      <c r="P367">
        <v>0</v>
      </c>
      <c r="R367">
        <v>71.98</v>
      </c>
      <c r="V367">
        <v>0</v>
      </c>
      <c r="W367">
        <v>0</v>
      </c>
      <c r="X367">
        <v>0</v>
      </c>
      <c r="Y367">
        <v>0</v>
      </c>
      <c r="Z367">
        <v>25</v>
      </c>
      <c r="AA367">
        <v>40.83</v>
      </c>
      <c r="AB367">
        <v>6</v>
      </c>
      <c r="AC367">
        <v>74.709999999999994</v>
      </c>
      <c r="AD367">
        <v>10</v>
      </c>
      <c r="AE367">
        <v>12.95</v>
      </c>
      <c r="AH367">
        <v>0</v>
      </c>
      <c r="AJ367">
        <v>131.5</v>
      </c>
      <c r="AN367">
        <v>262.33999999999997</v>
      </c>
      <c r="AO367">
        <v>0</v>
      </c>
      <c r="AP367">
        <v>1.2299999999999613</v>
      </c>
      <c r="AQ367">
        <v>44</v>
      </c>
      <c r="AR367">
        <v>282.91000000000003</v>
      </c>
      <c r="AS367">
        <v>82</v>
      </c>
      <c r="AT367">
        <v>537.54999999999995</v>
      </c>
      <c r="AU367">
        <v>20</v>
      </c>
      <c r="AV367">
        <v>171.25</v>
      </c>
      <c r="AW367">
        <v>6</v>
      </c>
      <c r="AX367">
        <v>45.43</v>
      </c>
      <c r="AY367">
        <v>29</v>
      </c>
      <c r="AZ367">
        <v>199.1</v>
      </c>
      <c r="BM367">
        <v>1</v>
      </c>
      <c r="BN367">
        <v>7.06</v>
      </c>
      <c r="BP367">
        <v>7</v>
      </c>
      <c r="BQ367">
        <v>82.41</v>
      </c>
      <c r="BR367">
        <v>75.67</v>
      </c>
      <c r="BS367">
        <v>1483.95</v>
      </c>
      <c r="BV367">
        <v>0</v>
      </c>
      <c r="BW367">
        <v>0</v>
      </c>
      <c r="CA367">
        <v>2</v>
      </c>
      <c r="CB367">
        <v>28.63</v>
      </c>
      <c r="CG367">
        <v>366</v>
      </c>
      <c r="CH367">
        <v>366</v>
      </c>
    </row>
    <row r="368" spans="1:86" x14ac:dyDescent="0.35">
      <c r="A368">
        <v>359606</v>
      </c>
      <c r="B368" s="2">
        <v>44227</v>
      </c>
      <c r="C368" s="2">
        <v>44227</v>
      </c>
      <c r="D368">
        <v>30</v>
      </c>
      <c r="E368">
        <v>107.3</v>
      </c>
      <c r="F368">
        <v>452.84</v>
      </c>
      <c r="G368">
        <v>254.53</v>
      </c>
      <c r="H368">
        <v>355.35</v>
      </c>
      <c r="I368">
        <v>28.78</v>
      </c>
      <c r="J368">
        <v>1123.67</v>
      </c>
      <c r="K368">
        <v>40.769999999999996</v>
      </c>
      <c r="L368">
        <v>196</v>
      </c>
      <c r="M368">
        <v>45.91</v>
      </c>
      <c r="N368">
        <v>1173.1300000000001</v>
      </c>
      <c r="O368">
        <v>4</v>
      </c>
      <c r="P368">
        <v>22.36</v>
      </c>
      <c r="R368">
        <v>54.599999999999994</v>
      </c>
      <c r="V368">
        <v>0</v>
      </c>
      <c r="W368">
        <v>0</v>
      </c>
      <c r="X368">
        <v>0</v>
      </c>
      <c r="Y368">
        <v>0</v>
      </c>
      <c r="Z368">
        <v>14</v>
      </c>
      <c r="AA368">
        <v>56.35</v>
      </c>
      <c r="AB368">
        <v>2</v>
      </c>
      <c r="AC368">
        <v>29.25</v>
      </c>
      <c r="AD368">
        <v>0</v>
      </c>
      <c r="AE368">
        <v>0</v>
      </c>
      <c r="AH368">
        <v>0</v>
      </c>
      <c r="AJ368">
        <v>103.65</v>
      </c>
      <c r="AN368">
        <v>375</v>
      </c>
      <c r="AO368">
        <v>0</v>
      </c>
      <c r="AP368">
        <v>203.61</v>
      </c>
      <c r="AQ368">
        <v>26</v>
      </c>
      <c r="AR368">
        <v>182.4</v>
      </c>
      <c r="AS368">
        <v>83</v>
      </c>
      <c r="AT368">
        <v>587.17999999999995</v>
      </c>
      <c r="AU368">
        <v>22</v>
      </c>
      <c r="AV368">
        <v>119.74</v>
      </c>
      <c r="AW368">
        <v>3</v>
      </c>
      <c r="AX368">
        <v>10.56</v>
      </c>
      <c r="AY368">
        <v>21</v>
      </c>
      <c r="AZ368">
        <v>125.63</v>
      </c>
      <c r="BP368">
        <v>3</v>
      </c>
      <c r="BQ368">
        <v>46.83</v>
      </c>
      <c r="BR368">
        <v>43</v>
      </c>
      <c r="BS368">
        <v>1164.44</v>
      </c>
      <c r="BV368">
        <v>0</v>
      </c>
      <c r="BW368">
        <v>0</v>
      </c>
      <c r="CG368">
        <v>367</v>
      </c>
      <c r="CH368">
        <v>367</v>
      </c>
    </row>
    <row r="369" spans="1:86" x14ac:dyDescent="0.35">
      <c r="A369">
        <v>355439</v>
      </c>
      <c r="B369" s="2">
        <v>44227</v>
      </c>
      <c r="C369" s="2">
        <v>44227</v>
      </c>
      <c r="D369">
        <v>176</v>
      </c>
      <c r="E369">
        <v>623.34</v>
      </c>
      <c r="F369">
        <v>1856.54</v>
      </c>
      <c r="G369">
        <v>862.04</v>
      </c>
      <c r="H369">
        <v>948.22</v>
      </c>
      <c r="I369">
        <v>127.74000000000001</v>
      </c>
      <c r="J369">
        <v>4020.52</v>
      </c>
      <c r="L369">
        <v>613</v>
      </c>
      <c r="N369">
        <v>4102.16</v>
      </c>
      <c r="O369">
        <v>7</v>
      </c>
      <c r="P369">
        <v>22.25</v>
      </c>
      <c r="V369">
        <v>2</v>
      </c>
      <c r="W369">
        <v>40</v>
      </c>
      <c r="X369">
        <v>0</v>
      </c>
      <c r="Y369">
        <v>0</v>
      </c>
      <c r="Z369">
        <v>85</v>
      </c>
      <c r="AA369">
        <v>136.94</v>
      </c>
      <c r="AB369">
        <v>17</v>
      </c>
      <c r="AC369">
        <v>98</v>
      </c>
      <c r="AD369">
        <v>48</v>
      </c>
      <c r="AE369">
        <v>71.39</v>
      </c>
      <c r="AH369">
        <v>0</v>
      </c>
      <c r="AJ369">
        <v>321.89</v>
      </c>
      <c r="AN369">
        <v>480</v>
      </c>
      <c r="AO369">
        <v>0</v>
      </c>
      <c r="AP369">
        <v>20.670000000000016</v>
      </c>
      <c r="AQ369">
        <v>96</v>
      </c>
      <c r="AR369">
        <v>759.81</v>
      </c>
      <c r="AS369">
        <v>281</v>
      </c>
      <c r="AT369">
        <v>2107.04</v>
      </c>
      <c r="AU369">
        <v>31</v>
      </c>
      <c r="AV369">
        <v>379.58</v>
      </c>
      <c r="AW369">
        <v>15</v>
      </c>
      <c r="AX369">
        <v>109.56</v>
      </c>
      <c r="AY369">
        <v>54</v>
      </c>
      <c r="AZ369">
        <v>397.93</v>
      </c>
      <c r="BP369">
        <v>3</v>
      </c>
      <c r="BQ369">
        <v>25.59</v>
      </c>
      <c r="BR369">
        <v>20.22</v>
      </c>
      <c r="BS369">
        <v>4020.52</v>
      </c>
      <c r="BV369">
        <v>0</v>
      </c>
      <c r="BW369">
        <v>0</v>
      </c>
      <c r="CA369">
        <v>13</v>
      </c>
      <c r="CB369">
        <v>144.84</v>
      </c>
      <c r="CG369">
        <v>368</v>
      </c>
      <c r="CH369">
        <v>368</v>
      </c>
    </row>
    <row r="370" spans="1:86" x14ac:dyDescent="0.35">
      <c r="A370">
        <v>352613</v>
      </c>
      <c r="B370" s="2">
        <v>44227</v>
      </c>
      <c r="C370" s="2">
        <v>44227</v>
      </c>
      <c r="D370">
        <v>131</v>
      </c>
      <c r="E370">
        <v>466.89</v>
      </c>
      <c r="F370">
        <v>1684.0299999999997</v>
      </c>
      <c r="G370">
        <v>739.64</v>
      </c>
      <c r="H370">
        <v>951.78</v>
      </c>
      <c r="I370">
        <v>135.44</v>
      </c>
      <c r="J370">
        <v>3712.9599999999996</v>
      </c>
      <c r="K370">
        <v>336.78000000000003</v>
      </c>
      <c r="L370">
        <v>570</v>
      </c>
      <c r="M370">
        <v>343.97</v>
      </c>
      <c r="N370">
        <v>3831.97</v>
      </c>
      <c r="O370">
        <v>0</v>
      </c>
      <c r="P370">
        <v>0</v>
      </c>
      <c r="R370">
        <v>126.2</v>
      </c>
      <c r="V370">
        <v>2</v>
      </c>
      <c r="W370">
        <v>45</v>
      </c>
      <c r="X370">
        <v>0</v>
      </c>
      <c r="Y370">
        <v>0</v>
      </c>
      <c r="Z370">
        <v>91</v>
      </c>
      <c r="AA370">
        <v>152.34</v>
      </c>
      <c r="AB370">
        <v>4</v>
      </c>
      <c r="AC370">
        <v>0</v>
      </c>
      <c r="AD370">
        <v>30</v>
      </c>
      <c r="AE370">
        <v>63.48</v>
      </c>
      <c r="AH370">
        <v>0</v>
      </c>
      <c r="AJ370">
        <v>324.20999999999998</v>
      </c>
      <c r="AN370">
        <v>2028</v>
      </c>
      <c r="AO370">
        <v>0</v>
      </c>
      <c r="AP370">
        <v>1034.33</v>
      </c>
      <c r="AQ370">
        <v>75</v>
      </c>
      <c r="AR370">
        <v>642.87</v>
      </c>
      <c r="AS370">
        <v>247</v>
      </c>
      <c r="AT370">
        <v>2035.8</v>
      </c>
      <c r="AU370">
        <v>14</v>
      </c>
      <c r="AV370">
        <v>109.55</v>
      </c>
      <c r="AW370">
        <v>9</v>
      </c>
      <c r="AX370">
        <v>82.95</v>
      </c>
      <c r="AY370">
        <v>50</v>
      </c>
      <c r="AZ370">
        <v>319.14</v>
      </c>
      <c r="BM370">
        <v>2</v>
      </c>
      <c r="BN370">
        <v>12.62</v>
      </c>
      <c r="BP370">
        <v>7</v>
      </c>
      <c r="BQ370">
        <v>133.35</v>
      </c>
      <c r="BR370">
        <v>114.3</v>
      </c>
      <c r="BS370">
        <v>4052.08</v>
      </c>
      <c r="BV370">
        <v>-5.6199999999998909</v>
      </c>
      <c r="BW370">
        <v>-0.66</v>
      </c>
      <c r="CA370">
        <v>7</v>
      </c>
      <c r="CB370">
        <v>93.96</v>
      </c>
      <c r="CG370">
        <v>369</v>
      </c>
      <c r="CH370">
        <v>369</v>
      </c>
    </row>
    <row r="371" spans="1:86" x14ac:dyDescent="0.35">
      <c r="A371">
        <v>355439</v>
      </c>
      <c r="B371" s="61">
        <v>44225</v>
      </c>
      <c r="C371" s="61">
        <v>44225</v>
      </c>
      <c r="D371">
        <v>161</v>
      </c>
      <c r="E371">
        <v>525.21</v>
      </c>
      <c r="F371">
        <v>1753.6399999999999</v>
      </c>
      <c r="G371">
        <v>772.31999999999994</v>
      </c>
      <c r="H371">
        <v>874.5</v>
      </c>
      <c r="I371">
        <v>118.27000000000001</v>
      </c>
      <c r="J371">
        <v>3728.41</v>
      </c>
      <c r="K371">
        <v>0</v>
      </c>
      <c r="L371">
        <v>649</v>
      </c>
      <c r="M371">
        <v>0</v>
      </c>
      <c r="N371">
        <v>3845.39</v>
      </c>
      <c r="O371">
        <v>6</v>
      </c>
      <c r="P371">
        <v>29.76</v>
      </c>
      <c r="Q371">
        <v>7</v>
      </c>
      <c r="R371">
        <v>1.46</v>
      </c>
      <c r="S371">
        <v>40</v>
      </c>
      <c r="T371">
        <v>75.05</v>
      </c>
      <c r="U371">
        <v>38.909999999999997</v>
      </c>
      <c r="V371">
        <v>1</v>
      </c>
      <c r="W371">
        <v>20</v>
      </c>
      <c r="X371">
        <v>13</v>
      </c>
      <c r="Y371">
        <v>0</v>
      </c>
      <c r="Z371">
        <v>93</v>
      </c>
      <c r="AA371">
        <v>271.13</v>
      </c>
      <c r="AB371">
        <v>30</v>
      </c>
      <c r="AC371">
        <v>65.150000000000006</v>
      </c>
      <c r="AD371">
        <v>30</v>
      </c>
      <c r="AE371">
        <v>44.24</v>
      </c>
      <c r="AF371">
        <v>0</v>
      </c>
      <c r="AG371">
        <v>0</v>
      </c>
      <c r="AH371">
        <v>0</v>
      </c>
      <c r="AI371">
        <v>0</v>
      </c>
      <c r="AJ371">
        <v>298.57</v>
      </c>
      <c r="AK371">
        <v>0</v>
      </c>
      <c r="AL371">
        <v>3674.29</v>
      </c>
      <c r="AM371">
        <v>0</v>
      </c>
      <c r="AN371">
        <v>538.94000000000005</v>
      </c>
      <c r="AO371">
        <v>0</v>
      </c>
      <c r="AP371">
        <v>-3.3500000000000014</v>
      </c>
      <c r="AQ371">
        <v>85</v>
      </c>
      <c r="AR371">
        <v>580.9799999999999</v>
      </c>
      <c r="AS371">
        <v>282</v>
      </c>
      <c r="AT371">
        <v>2038.77</v>
      </c>
      <c r="AU371">
        <v>19</v>
      </c>
      <c r="AV371">
        <v>132.07999999999998</v>
      </c>
      <c r="AW371">
        <v>8</v>
      </c>
      <c r="AX371">
        <v>70.540000000000006</v>
      </c>
      <c r="AY371">
        <v>53</v>
      </c>
      <c r="AZ371">
        <v>261.93</v>
      </c>
      <c r="BA371">
        <v>2</v>
      </c>
      <c r="BB371">
        <v>19.690000000000001</v>
      </c>
      <c r="BC371">
        <v>2</v>
      </c>
      <c r="BD371">
        <v>16.34</v>
      </c>
      <c r="BE371">
        <v>12</v>
      </c>
      <c r="BF371">
        <v>84.07</v>
      </c>
      <c r="BG371">
        <v>4</v>
      </c>
      <c r="BH371">
        <v>36.75</v>
      </c>
      <c r="BI371">
        <v>0</v>
      </c>
      <c r="BJ371">
        <v>0</v>
      </c>
      <c r="BK371">
        <v>19</v>
      </c>
      <c r="BL371">
        <v>147.68</v>
      </c>
      <c r="BM371">
        <v>2</v>
      </c>
      <c r="BN371">
        <v>27.33</v>
      </c>
      <c r="BO371">
        <v>25.3</v>
      </c>
      <c r="BP371">
        <v>1</v>
      </c>
      <c r="BQ371">
        <v>9.6999999999999993</v>
      </c>
      <c r="BR371">
        <v>8.98</v>
      </c>
      <c r="BS371">
        <v>54.12</v>
      </c>
      <c r="BT371">
        <v>0</v>
      </c>
      <c r="BU371">
        <v>0</v>
      </c>
      <c r="BV371">
        <v>0</v>
      </c>
      <c r="BW371">
        <v>0</v>
      </c>
      <c r="BX371">
        <v>0</v>
      </c>
      <c r="BY371">
        <v>0</v>
      </c>
      <c r="BZ371">
        <v>0</v>
      </c>
      <c r="CA371">
        <v>8</v>
      </c>
      <c r="CB371">
        <v>78.83</v>
      </c>
      <c r="CC371">
        <v>0</v>
      </c>
      <c r="CD371">
        <v>0</v>
      </c>
      <c r="CE371">
        <v>0</v>
      </c>
      <c r="CF371">
        <v>0</v>
      </c>
      <c r="CG371">
        <v>370</v>
      </c>
      <c r="CH371">
        <v>370</v>
      </c>
    </row>
    <row r="372" spans="1:86" x14ac:dyDescent="0.35">
      <c r="A372">
        <v>355439</v>
      </c>
      <c r="B372" s="62">
        <v>44226</v>
      </c>
      <c r="C372" s="62">
        <v>44226</v>
      </c>
      <c r="D372">
        <v>245</v>
      </c>
      <c r="E372">
        <v>874.79000000000008</v>
      </c>
      <c r="F372">
        <v>2578.0899999999997</v>
      </c>
      <c r="G372">
        <v>930.6</v>
      </c>
      <c r="H372">
        <v>1105.3600000000001</v>
      </c>
      <c r="I372">
        <v>192.51000000000002</v>
      </c>
      <c r="J372">
        <v>5124.7999999999993</v>
      </c>
      <c r="K372">
        <v>0</v>
      </c>
      <c r="L372">
        <v>815</v>
      </c>
      <c r="M372">
        <v>0</v>
      </c>
      <c r="N372">
        <v>5305.32</v>
      </c>
      <c r="O372">
        <v>12</v>
      </c>
      <c r="P372">
        <v>40.159999999999997</v>
      </c>
      <c r="Q372">
        <v>0</v>
      </c>
      <c r="R372">
        <v>0</v>
      </c>
      <c r="S372">
        <v>20</v>
      </c>
      <c r="T372">
        <v>40.270000000000003</v>
      </c>
      <c r="U372">
        <v>5.7</v>
      </c>
      <c r="V372">
        <v>1</v>
      </c>
      <c r="W372">
        <v>5</v>
      </c>
      <c r="X372">
        <v>1</v>
      </c>
      <c r="Y372">
        <v>0</v>
      </c>
      <c r="Z372">
        <v>208</v>
      </c>
      <c r="AA372">
        <v>8401.2199999999993</v>
      </c>
      <c r="AB372">
        <v>37</v>
      </c>
      <c r="AC372">
        <v>213.31</v>
      </c>
      <c r="AD372">
        <v>102</v>
      </c>
      <c r="AE372">
        <v>146.87</v>
      </c>
      <c r="AF372">
        <v>0</v>
      </c>
      <c r="AG372">
        <v>0</v>
      </c>
      <c r="AH372">
        <v>0</v>
      </c>
      <c r="AI372">
        <v>0</v>
      </c>
      <c r="AJ372">
        <v>356.49</v>
      </c>
      <c r="AK372">
        <v>0</v>
      </c>
      <c r="AL372">
        <v>671.31</v>
      </c>
      <c r="AM372">
        <v>0</v>
      </c>
      <c r="AN372">
        <v>8.94</v>
      </c>
      <c r="AO372">
        <v>0</v>
      </c>
      <c r="AP372">
        <v>-718.31</v>
      </c>
      <c r="AQ372">
        <v>117</v>
      </c>
      <c r="AR372">
        <v>789.33</v>
      </c>
      <c r="AS372">
        <v>374</v>
      </c>
      <c r="AT372">
        <v>2704.59</v>
      </c>
      <c r="AU372">
        <v>40</v>
      </c>
      <c r="AV372">
        <v>342.56</v>
      </c>
      <c r="AW372">
        <v>14</v>
      </c>
      <c r="AX372">
        <v>122.57</v>
      </c>
      <c r="AY372">
        <v>79</v>
      </c>
      <c r="AZ372">
        <v>449.13</v>
      </c>
      <c r="BA372">
        <v>0</v>
      </c>
      <c r="BB372">
        <v>0</v>
      </c>
      <c r="BC372">
        <v>0</v>
      </c>
      <c r="BD372">
        <v>0</v>
      </c>
      <c r="BE372">
        <v>0</v>
      </c>
      <c r="BF372">
        <v>0</v>
      </c>
      <c r="BG372">
        <v>0</v>
      </c>
      <c r="BH372">
        <v>0</v>
      </c>
      <c r="BI372">
        <v>0</v>
      </c>
      <c r="BJ372">
        <v>0</v>
      </c>
      <c r="BK372">
        <v>0</v>
      </c>
      <c r="BL372">
        <v>0</v>
      </c>
      <c r="BM372">
        <v>0</v>
      </c>
      <c r="BN372">
        <v>0</v>
      </c>
      <c r="BO372">
        <v>0</v>
      </c>
      <c r="BP372">
        <v>2</v>
      </c>
      <c r="BQ372">
        <v>16.7</v>
      </c>
      <c r="BR372">
        <v>15.46</v>
      </c>
      <c r="BS372">
        <v>4453.49</v>
      </c>
      <c r="BT372">
        <v>0</v>
      </c>
      <c r="BU372">
        <v>0</v>
      </c>
      <c r="BV372">
        <v>0</v>
      </c>
      <c r="BW372">
        <v>0</v>
      </c>
      <c r="BX372">
        <v>0</v>
      </c>
      <c r="BY372">
        <v>0</v>
      </c>
      <c r="BZ372">
        <v>0</v>
      </c>
      <c r="CA372">
        <v>14</v>
      </c>
      <c r="CB372">
        <v>193.28</v>
      </c>
      <c r="CC372">
        <v>1</v>
      </c>
      <c r="CD372">
        <v>27.55</v>
      </c>
      <c r="CE372">
        <v>0</v>
      </c>
      <c r="CF372">
        <v>0</v>
      </c>
      <c r="CG372">
        <v>371</v>
      </c>
      <c r="CH372">
        <v>371</v>
      </c>
    </row>
  </sheetData>
  <sheetProtection sort="0" autoFilter="0"/>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BB9-F222-4F33-8239-C8A085B89D00}">
  <sheetPr codeName="Sheet9"/>
  <dimension ref="A1:C5"/>
  <sheetViews>
    <sheetView workbookViewId="0">
      <selection activeCell="B2" sqref="B2"/>
    </sheetView>
  </sheetViews>
  <sheetFormatPr defaultRowHeight="14.5" x14ac:dyDescent="0.35"/>
  <cols>
    <col min="1" max="1" width="20.81640625" customWidth="1"/>
    <col min="2" max="2" width="16.54296875" customWidth="1"/>
    <col min="3" max="3" width="20.7265625" customWidth="1"/>
  </cols>
  <sheetData>
    <row r="1" spans="1:3" x14ac:dyDescent="0.35">
      <c r="A1" s="6" t="s">
        <v>90</v>
      </c>
      <c r="B1" s="6" t="s">
        <v>89</v>
      </c>
      <c r="C1" s="6" t="s">
        <v>88</v>
      </c>
    </row>
    <row r="2" spans="1:3" x14ac:dyDescent="0.35">
      <c r="A2" s="15">
        <v>44227</v>
      </c>
      <c r="B2" s="15">
        <v>44227</v>
      </c>
      <c r="C2" s="16">
        <v>44233</v>
      </c>
    </row>
    <row r="3" spans="1:3" x14ac:dyDescent="0.35">
      <c r="A3" s="2"/>
    </row>
    <row r="5" spans="1:3" x14ac:dyDescent="0.35">
      <c r="A5" t="s">
        <v>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C47D1-562B-4970-900B-39DEE13AE031}">
  <sheetPr codeName="Sheet6"/>
  <dimension ref="A1:F80"/>
  <sheetViews>
    <sheetView workbookViewId="0">
      <selection activeCell="E18" sqref="E18"/>
    </sheetView>
  </sheetViews>
  <sheetFormatPr defaultRowHeight="14.5" x14ac:dyDescent="0.35"/>
  <cols>
    <col min="1" max="1" width="11.81640625" customWidth="1"/>
    <col min="2" max="2" width="12.453125" customWidth="1"/>
    <col min="3" max="3" width="11.54296875" customWidth="1"/>
    <col min="4" max="4" width="99.453125" customWidth="1"/>
    <col min="5" max="5" width="74.1796875" customWidth="1"/>
    <col min="6" max="6" width="33.54296875" customWidth="1"/>
  </cols>
  <sheetData>
    <row r="1" spans="1:6" x14ac:dyDescent="0.35">
      <c r="A1" s="6" t="s">
        <v>90</v>
      </c>
      <c r="B1" s="6" t="s">
        <v>89</v>
      </c>
      <c r="C1" s="6" t="s">
        <v>88</v>
      </c>
      <c r="D1" s="22" t="s">
        <v>94</v>
      </c>
      <c r="E1" s="26" t="s">
        <v>95</v>
      </c>
      <c r="F1" s="6"/>
    </row>
    <row r="2" spans="1:6" ht="15" thickBot="1" x14ac:dyDescent="0.4">
      <c r="A2" s="14">
        <v>44220</v>
      </c>
      <c r="B2" s="14">
        <v>44226</v>
      </c>
      <c r="C2" s="14">
        <v>44226</v>
      </c>
      <c r="D2" s="23" t="s">
        <v>133</v>
      </c>
      <c r="E2" t="s">
        <v>118</v>
      </c>
    </row>
    <row r="4" spans="1:6" ht="15" thickBot="1" x14ac:dyDescent="0.4"/>
    <row r="5" spans="1:6" x14ac:dyDescent="0.35">
      <c r="B5" s="5"/>
      <c r="C5" s="6" t="s">
        <v>88</v>
      </c>
      <c r="D5" s="30" t="s">
        <v>98</v>
      </c>
    </row>
    <row r="6" spans="1:6" x14ac:dyDescent="0.35">
      <c r="C6" s="14">
        <v>44226</v>
      </c>
      <c r="D6" t="s">
        <v>113</v>
      </c>
    </row>
    <row r="7" spans="1:6" ht="15" thickBot="1" x14ac:dyDescent="0.4">
      <c r="D7" s="25"/>
      <c r="E7" s="25"/>
    </row>
    <row r="8" spans="1:6" x14ac:dyDescent="0.35">
      <c r="C8" s="24" t="s">
        <v>88</v>
      </c>
      <c r="D8" s="27" t="s">
        <v>97</v>
      </c>
      <c r="E8" s="28" t="s">
        <v>96</v>
      </c>
    </row>
    <row r="9" spans="1:6" ht="15" thickBot="1" x14ac:dyDescent="0.4">
      <c r="C9" s="14">
        <v>44226</v>
      </c>
      <c r="D9" s="29" t="s">
        <v>113</v>
      </c>
      <c r="E9" s="23" t="s">
        <v>133</v>
      </c>
    </row>
    <row r="16" spans="1:6" x14ac:dyDescent="0.35">
      <c r="E16" s="2"/>
    </row>
    <row r="18" spans="5:5" x14ac:dyDescent="0.35">
      <c r="E18" t="s">
        <v>99</v>
      </c>
    </row>
    <row r="34" spans="4:4" x14ac:dyDescent="0.35">
      <c r="D34" s="2"/>
    </row>
    <row r="80" spans="1:1" x14ac:dyDescent="0.35">
      <c r="A80" t="s">
        <v>92</v>
      </c>
    </row>
  </sheetData>
  <dataValidations count="2">
    <dataValidation showInputMessage="1" showErrorMessage="1" sqref="E16" xr:uid="{27F372D8-AE9A-42FF-8EE8-8ADD567B47FC}"/>
    <dataValidation type="list" showInputMessage="1" showErrorMessage="1" sqref="C6 C2 C9" xr:uid="{06CB6B9B-349C-4DDC-905C-6C73E783DC01}">
      <formula1>$A$79:$A$80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5">
          <controlPr defaultSize="0" autoLine="0" r:id="rId5">
            <anchor moveWithCells="1">
              <from>
                <xdr:col>1</xdr:col>
                <xdr:colOff>431800</xdr:colOff>
                <xdr:row>34</xdr:row>
                <xdr:rowOff>31750</xdr:rowOff>
              </from>
              <to>
                <xdr:col>3</xdr:col>
                <xdr:colOff>4419600</xdr:colOff>
                <xdr:row>38</xdr:row>
                <xdr:rowOff>158750</xdr:rowOff>
              </to>
            </anchor>
          </controlPr>
        </control>
      </mc:Choice>
      <mc:Fallback>
        <control shapeId="18437" r:id="rId4" name="CommandButton5"/>
      </mc:Fallback>
    </mc:AlternateContent>
    <mc:AlternateContent xmlns:mc="http://schemas.openxmlformats.org/markup-compatibility/2006">
      <mc:Choice Requires="x14">
        <control shapeId="18433" r:id="rId6" name="CommandButton1">
          <controlPr defaultSize="0" autoLine="0" r:id="rId7">
            <anchor moveWithCells="1">
              <from>
                <xdr:col>2</xdr:col>
                <xdr:colOff>609600</xdr:colOff>
                <xdr:row>10</xdr:row>
                <xdr:rowOff>107950</xdr:rowOff>
              </from>
              <to>
                <xdr:col>3</xdr:col>
                <xdr:colOff>3022600</xdr:colOff>
                <xdr:row>14</xdr:row>
                <xdr:rowOff>69850</xdr:rowOff>
              </to>
            </anchor>
          </controlPr>
        </control>
      </mc:Choice>
      <mc:Fallback>
        <control shapeId="18433" r:id="rId6" name="CommandButton1"/>
      </mc:Fallback>
    </mc:AlternateContent>
    <mc:AlternateContent xmlns:mc="http://schemas.openxmlformats.org/markup-compatibility/2006">
      <mc:Choice Requires="x14">
        <control shapeId="18434" r:id="rId8" name="CommandButton2">
          <controlPr defaultSize="0" autoLine="0" r:id="rId9">
            <anchor moveWithCells="1">
              <from>
                <xdr:col>2</xdr:col>
                <xdr:colOff>431800</xdr:colOff>
                <xdr:row>25</xdr:row>
                <xdr:rowOff>146050</xdr:rowOff>
              </from>
              <to>
                <xdr:col>3</xdr:col>
                <xdr:colOff>3314700</xdr:colOff>
                <xdr:row>30</xdr:row>
                <xdr:rowOff>6350</xdr:rowOff>
              </to>
            </anchor>
          </controlPr>
        </control>
      </mc:Choice>
      <mc:Fallback>
        <control shapeId="18434" r:id="rId8" name="CommandButton2"/>
      </mc:Fallback>
    </mc:AlternateContent>
    <mc:AlternateContent xmlns:mc="http://schemas.openxmlformats.org/markup-compatibility/2006">
      <mc:Choice Requires="x14">
        <control shapeId="18435" r:id="rId10" name="CommandButton3">
          <controlPr defaultSize="0" disabled="1" autoLine="0" r:id="rId11">
            <anchor moveWithCells="1">
              <from>
                <xdr:col>9</xdr:col>
                <xdr:colOff>361950</xdr:colOff>
                <xdr:row>28</xdr:row>
                <xdr:rowOff>50800</xdr:rowOff>
              </from>
              <to>
                <xdr:col>18</xdr:col>
                <xdr:colOff>69850</xdr:colOff>
                <xdr:row>32</xdr:row>
                <xdr:rowOff>76200</xdr:rowOff>
              </to>
            </anchor>
          </controlPr>
        </control>
      </mc:Choice>
      <mc:Fallback>
        <control shapeId="18435" r:id="rId10" name="CommandButton3"/>
      </mc:Fallback>
    </mc:AlternateContent>
    <mc:AlternateContent xmlns:mc="http://schemas.openxmlformats.org/markup-compatibility/2006">
      <mc:Choice Requires="x14">
        <control shapeId="18436" r:id="rId12" name="CommandButton4">
          <controlPr defaultSize="0" autoLine="0" r:id="rId13">
            <anchor moveWithCells="1">
              <from>
                <xdr:col>1</xdr:col>
                <xdr:colOff>298450</xdr:colOff>
                <xdr:row>16</xdr:row>
                <xdr:rowOff>76200</xdr:rowOff>
              </from>
              <to>
                <xdr:col>3</xdr:col>
                <xdr:colOff>5181600</xdr:colOff>
                <xdr:row>21</xdr:row>
                <xdr:rowOff>177800</xdr:rowOff>
              </to>
            </anchor>
          </controlPr>
        </control>
      </mc:Choice>
      <mc:Fallback>
        <control shapeId="18436" r:id="rId12" name="CommandButton4"/>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71F-0070-4C58-8D29-3F9CE430E539}">
  <sheetPr codeName="Sheet10"/>
  <dimension ref="A1:O105"/>
  <sheetViews>
    <sheetView workbookViewId="0">
      <pane ySplit="1" topLeftCell="A77" activePane="bottomLeft" state="frozen"/>
      <selection pane="bottomLeft" activeCell="H92" sqref="H92"/>
    </sheetView>
  </sheetViews>
  <sheetFormatPr defaultRowHeight="14.5" x14ac:dyDescent="0.35"/>
  <cols>
    <col min="1" max="1" width="24.453125" customWidth="1"/>
    <col min="2" max="2" width="11.453125" customWidth="1"/>
    <col min="3" max="3" width="14.453125" customWidth="1"/>
    <col min="4" max="4" width="13.1796875" customWidth="1"/>
    <col min="5" max="5" width="17.26953125" style="36" customWidth="1"/>
    <col min="6" max="6" width="19.453125" style="36" customWidth="1"/>
    <col min="7" max="7" width="14.81640625" customWidth="1"/>
    <col min="10" max="10" width="15" customWidth="1"/>
    <col min="12" max="12" width="13.81640625" customWidth="1"/>
    <col min="13" max="13" width="12.54296875" customWidth="1"/>
    <col min="14" max="14" width="15.54296875" customWidth="1"/>
    <col min="15" max="15" width="11.81640625" customWidth="1"/>
  </cols>
  <sheetData>
    <row r="1" spans="1:6" x14ac:dyDescent="0.35">
      <c r="A1" s="32" t="s">
        <v>102</v>
      </c>
      <c r="B1" s="32" t="s">
        <v>90</v>
      </c>
      <c r="C1" s="32" t="s">
        <v>106</v>
      </c>
      <c r="D1" s="32" t="s">
        <v>104</v>
      </c>
      <c r="E1" s="34" t="s">
        <v>103</v>
      </c>
      <c r="F1" s="34" t="s">
        <v>101</v>
      </c>
    </row>
    <row r="2" spans="1:6" x14ac:dyDescent="0.35">
      <c r="A2" s="33">
        <v>44197.492627314816</v>
      </c>
      <c r="B2" s="2">
        <v>44196</v>
      </c>
      <c r="C2" s="2">
        <v>44196</v>
      </c>
      <c r="D2">
        <v>357150</v>
      </c>
      <c r="E2" s="35">
        <v>13.07</v>
      </c>
      <c r="F2" s="35">
        <v>70</v>
      </c>
    </row>
    <row r="3" spans="1:6" x14ac:dyDescent="0.35">
      <c r="A3" s="33">
        <v>44198.019560185188</v>
      </c>
      <c r="B3" s="2">
        <v>44186</v>
      </c>
      <c r="C3" s="2">
        <v>44186</v>
      </c>
      <c r="D3">
        <v>357150</v>
      </c>
      <c r="E3" s="37">
        <v>0</v>
      </c>
      <c r="F3" s="37">
        <v>165</v>
      </c>
    </row>
    <row r="4" spans="1:6" x14ac:dyDescent="0.35">
      <c r="A4" s="33">
        <v>44198.019826388889</v>
      </c>
      <c r="B4" s="2">
        <v>44187</v>
      </c>
      <c r="C4" s="2">
        <v>44187</v>
      </c>
      <c r="D4">
        <v>357150</v>
      </c>
      <c r="E4" s="37">
        <v>0</v>
      </c>
      <c r="F4" s="37">
        <v>50</v>
      </c>
    </row>
    <row r="5" spans="1:6" x14ac:dyDescent="0.35">
      <c r="A5" s="33">
        <v>44198.021585648145</v>
      </c>
      <c r="B5" s="2">
        <v>44186</v>
      </c>
      <c r="C5" s="2">
        <v>44186</v>
      </c>
      <c r="D5">
        <v>357150</v>
      </c>
      <c r="E5" s="37">
        <v>0</v>
      </c>
      <c r="F5" s="37">
        <v>165</v>
      </c>
    </row>
    <row r="6" spans="1:6" x14ac:dyDescent="0.35">
      <c r="A6" s="33">
        <v>44198.03</v>
      </c>
      <c r="B6" s="2">
        <v>44187</v>
      </c>
      <c r="C6" s="2">
        <v>44187</v>
      </c>
      <c r="D6">
        <v>357150</v>
      </c>
      <c r="E6" s="35">
        <v>10.87</v>
      </c>
      <c r="F6" s="35">
        <v>605</v>
      </c>
    </row>
    <row r="7" spans="1:6" x14ac:dyDescent="0.35">
      <c r="A7" s="33">
        <v>44198.036423611113</v>
      </c>
      <c r="B7" s="2">
        <v>44194</v>
      </c>
      <c r="C7" s="2">
        <v>44194</v>
      </c>
      <c r="D7">
        <v>350437</v>
      </c>
      <c r="E7" s="37">
        <v>52.56</v>
      </c>
      <c r="F7" s="37">
        <v>10</v>
      </c>
    </row>
    <row r="8" spans="1:6" x14ac:dyDescent="0.35">
      <c r="A8" s="33">
        <v>44198.037083333336</v>
      </c>
      <c r="B8" s="2">
        <v>44194</v>
      </c>
      <c r="C8" s="2">
        <v>44194</v>
      </c>
      <c r="D8">
        <v>350437</v>
      </c>
      <c r="E8" s="37">
        <v>52.56</v>
      </c>
      <c r="F8" s="37">
        <v>10</v>
      </c>
    </row>
    <row r="9" spans="1:6" x14ac:dyDescent="0.35">
      <c r="A9" s="33">
        <v>44198.040358796294</v>
      </c>
      <c r="B9" s="2">
        <v>44195</v>
      </c>
      <c r="C9" s="2">
        <v>44195</v>
      </c>
      <c r="D9">
        <v>355439</v>
      </c>
      <c r="E9" s="37">
        <v>2.98</v>
      </c>
      <c r="F9" s="37">
        <v>50</v>
      </c>
    </row>
    <row r="10" spans="1:6" x14ac:dyDescent="0.35">
      <c r="A10" s="33">
        <v>44202.252905092595</v>
      </c>
      <c r="B10" s="2">
        <v>44197</v>
      </c>
      <c r="C10" s="2">
        <v>44197</v>
      </c>
      <c r="D10">
        <v>352613</v>
      </c>
      <c r="E10" s="37">
        <v>51.22</v>
      </c>
      <c r="F10" s="37">
        <v>40</v>
      </c>
    </row>
    <row r="11" spans="1:6" x14ac:dyDescent="0.35">
      <c r="A11" s="33">
        <v>44202.253900462965</v>
      </c>
      <c r="B11" s="2">
        <v>44198</v>
      </c>
      <c r="C11" s="2">
        <v>44198</v>
      </c>
      <c r="D11">
        <v>350432</v>
      </c>
      <c r="E11" s="37">
        <v>21.12</v>
      </c>
      <c r="F11" s="37">
        <v>0</v>
      </c>
    </row>
    <row r="12" spans="1:6" x14ac:dyDescent="0.35">
      <c r="A12" s="33">
        <v>44202.257118055553</v>
      </c>
      <c r="B12" s="2">
        <v>44199</v>
      </c>
      <c r="C12" s="2">
        <v>44199</v>
      </c>
      <c r="D12">
        <v>355439</v>
      </c>
      <c r="E12" s="37">
        <v>379.6</v>
      </c>
      <c r="F12" s="37">
        <v>10</v>
      </c>
    </row>
    <row r="13" spans="1:6" x14ac:dyDescent="0.35">
      <c r="A13" s="33">
        <v>44202.262708333335</v>
      </c>
      <c r="B13" s="2">
        <v>44201</v>
      </c>
      <c r="C13" s="2">
        <v>44201</v>
      </c>
      <c r="D13">
        <v>350432</v>
      </c>
      <c r="E13" s="37">
        <v>24.13</v>
      </c>
      <c r="F13" s="37">
        <v>30</v>
      </c>
    </row>
    <row r="14" spans="1:6" x14ac:dyDescent="0.35">
      <c r="A14" s="33">
        <v>44202.263831018521</v>
      </c>
      <c r="B14" s="2">
        <v>44201</v>
      </c>
      <c r="C14" s="2">
        <v>44201</v>
      </c>
      <c r="D14">
        <v>354030</v>
      </c>
      <c r="E14" s="37">
        <v>7.58</v>
      </c>
      <c r="F14" s="37">
        <v>60</v>
      </c>
    </row>
    <row r="15" spans="1:6" x14ac:dyDescent="0.35">
      <c r="A15" s="33">
        <v>44202.285046296296</v>
      </c>
      <c r="B15" s="2">
        <v>44199</v>
      </c>
      <c r="C15" s="2">
        <v>44199</v>
      </c>
      <c r="D15">
        <v>357150</v>
      </c>
      <c r="E15" s="35">
        <v>10.16</v>
      </c>
      <c r="F15" s="35">
        <v>100</v>
      </c>
    </row>
    <row r="16" spans="1:6" x14ac:dyDescent="0.35">
      <c r="A16" s="33">
        <v>44202.598113425927</v>
      </c>
      <c r="B16" s="2">
        <v>44186</v>
      </c>
      <c r="C16" s="2">
        <v>44186</v>
      </c>
      <c r="D16">
        <v>359606</v>
      </c>
      <c r="E16" s="35">
        <v>0</v>
      </c>
      <c r="F16" s="35">
        <v>125</v>
      </c>
    </row>
    <row r="17" spans="1:12" x14ac:dyDescent="0.35">
      <c r="A17" s="33">
        <v>44204.279108796298</v>
      </c>
      <c r="B17" s="2">
        <v>44201</v>
      </c>
      <c r="C17" s="2">
        <v>44201</v>
      </c>
      <c r="D17">
        <v>350432</v>
      </c>
      <c r="E17" s="37">
        <v>24.13</v>
      </c>
      <c r="F17" s="37">
        <v>30</v>
      </c>
      <c r="K17" s="37"/>
      <c r="L17" s="37"/>
    </row>
    <row r="18" spans="1:12" x14ac:dyDescent="0.35">
      <c r="A18" s="33">
        <v>44204.28019675926</v>
      </c>
      <c r="B18" s="2">
        <v>44201</v>
      </c>
      <c r="C18" s="2">
        <v>44201</v>
      </c>
      <c r="D18">
        <v>354030</v>
      </c>
      <c r="E18" s="37">
        <v>7.58</v>
      </c>
      <c r="F18" s="37">
        <v>60</v>
      </c>
      <c r="K18" s="37"/>
      <c r="L18" s="37"/>
    </row>
    <row r="19" spans="1:12" x14ac:dyDescent="0.35">
      <c r="A19" s="33">
        <v>44204.323310185187</v>
      </c>
      <c r="B19" s="2">
        <v>44202</v>
      </c>
      <c r="C19" s="2">
        <v>44202</v>
      </c>
      <c r="D19">
        <v>352613</v>
      </c>
      <c r="E19" s="35">
        <v>47.97</v>
      </c>
      <c r="F19" s="35">
        <v>0</v>
      </c>
      <c r="K19" s="37"/>
      <c r="L19" s="37"/>
    </row>
    <row r="20" spans="1:12" x14ac:dyDescent="0.35">
      <c r="A20" s="33">
        <v>44205.446967592594</v>
      </c>
      <c r="B20" s="2">
        <v>44202</v>
      </c>
      <c r="C20" s="2">
        <v>44202</v>
      </c>
      <c r="D20">
        <v>352613</v>
      </c>
      <c r="E20" s="35">
        <v>47.97</v>
      </c>
      <c r="F20" s="35">
        <v>0</v>
      </c>
      <c r="K20" s="37"/>
      <c r="L20" s="37"/>
    </row>
    <row r="21" spans="1:12" x14ac:dyDescent="0.35">
      <c r="A21" s="33">
        <v>44205.45239583333</v>
      </c>
      <c r="B21" s="2">
        <v>44201</v>
      </c>
      <c r="C21" s="2">
        <v>44201</v>
      </c>
      <c r="D21">
        <v>350432</v>
      </c>
      <c r="E21" s="37">
        <v>24.13</v>
      </c>
      <c r="F21" s="37">
        <v>30</v>
      </c>
      <c r="K21" s="37"/>
      <c r="L21" s="37"/>
    </row>
    <row r="22" spans="1:12" x14ac:dyDescent="0.35">
      <c r="A22" s="33">
        <v>44205.558391203704</v>
      </c>
      <c r="B22" s="2">
        <v>44204</v>
      </c>
      <c r="C22" s="2">
        <v>44204</v>
      </c>
      <c r="D22">
        <v>350432</v>
      </c>
      <c r="E22" s="37">
        <v>19.27</v>
      </c>
      <c r="F22" s="37">
        <v>70</v>
      </c>
      <c r="K22" s="35"/>
      <c r="L22" s="35"/>
    </row>
    <row r="23" spans="1:12" x14ac:dyDescent="0.35">
      <c r="A23" s="33">
        <v>44205.559004629627</v>
      </c>
      <c r="B23" s="2">
        <v>44204</v>
      </c>
      <c r="C23" s="2">
        <v>44204</v>
      </c>
      <c r="D23">
        <v>351323</v>
      </c>
      <c r="E23" s="37">
        <v>22.56</v>
      </c>
      <c r="F23" s="37">
        <v>0</v>
      </c>
    </row>
    <row r="24" spans="1:12" x14ac:dyDescent="0.35">
      <c r="A24" s="33">
        <v>44205.559895833336</v>
      </c>
      <c r="B24" s="2">
        <v>44204</v>
      </c>
      <c r="C24" s="2">
        <v>44204</v>
      </c>
      <c r="D24">
        <v>355439</v>
      </c>
      <c r="E24" s="37">
        <v>15.16</v>
      </c>
      <c r="F24" s="37">
        <v>54</v>
      </c>
    </row>
    <row r="25" spans="1:12" x14ac:dyDescent="0.35">
      <c r="A25" s="33">
        <v>44206.406412037039</v>
      </c>
      <c r="B25" s="2">
        <v>44204</v>
      </c>
      <c r="C25" s="2">
        <v>44204</v>
      </c>
      <c r="D25">
        <v>351323</v>
      </c>
      <c r="E25" s="37">
        <v>22.56</v>
      </c>
      <c r="F25" s="37">
        <v>0</v>
      </c>
    </row>
    <row r="26" spans="1:12" x14ac:dyDescent="0.35">
      <c r="A26" s="33">
        <v>44206.407256944447</v>
      </c>
      <c r="B26" s="2">
        <v>44204</v>
      </c>
      <c r="C26" s="2">
        <v>44204</v>
      </c>
      <c r="D26">
        <v>355439</v>
      </c>
      <c r="E26" s="37">
        <v>15.16</v>
      </c>
      <c r="F26" s="37">
        <v>54</v>
      </c>
    </row>
    <row r="27" spans="1:12" x14ac:dyDescent="0.35">
      <c r="A27" s="33">
        <v>44206.466296296298</v>
      </c>
      <c r="B27" s="2">
        <v>44202</v>
      </c>
      <c r="C27" s="2">
        <v>44202</v>
      </c>
      <c r="D27">
        <v>352613</v>
      </c>
      <c r="E27" s="35">
        <v>47.97</v>
      </c>
      <c r="F27" s="35">
        <v>0</v>
      </c>
    </row>
    <row r="28" spans="1:12" x14ac:dyDescent="0.35">
      <c r="A28" s="33">
        <v>44206.518414351849</v>
      </c>
      <c r="B28" s="2">
        <v>44204</v>
      </c>
      <c r="C28" s="2">
        <v>44204</v>
      </c>
      <c r="D28">
        <v>351323</v>
      </c>
      <c r="E28" s="37">
        <v>22.56</v>
      </c>
      <c r="F28" s="37">
        <v>0</v>
      </c>
    </row>
    <row r="29" spans="1:12" x14ac:dyDescent="0.35">
      <c r="A29" s="33">
        <v>44206.523368055554</v>
      </c>
      <c r="B29" s="2">
        <v>44204</v>
      </c>
      <c r="C29" s="2">
        <v>44204</v>
      </c>
      <c r="D29">
        <v>355439</v>
      </c>
      <c r="E29" s="37">
        <v>15.16</v>
      </c>
      <c r="F29" s="37">
        <v>54</v>
      </c>
    </row>
    <row r="30" spans="1:12" x14ac:dyDescent="0.35">
      <c r="A30" s="33">
        <v>44206.523993055554</v>
      </c>
      <c r="B30" s="2">
        <v>44204</v>
      </c>
      <c r="C30" s="2">
        <v>44204</v>
      </c>
      <c r="D30">
        <v>355439</v>
      </c>
      <c r="E30" s="37">
        <v>15.16</v>
      </c>
      <c r="F30" s="37">
        <v>54</v>
      </c>
    </row>
    <row r="31" spans="1:12" x14ac:dyDescent="0.35">
      <c r="A31" s="33">
        <v>44207.495300925926</v>
      </c>
      <c r="B31" s="2">
        <v>44206</v>
      </c>
      <c r="C31" s="2">
        <v>44206</v>
      </c>
      <c r="D31">
        <v>357150</v>
      </c>
      <c r="E31" s="35">
        <v>0</v>
      </c>
      <c r="F31" s="35">
        <v>80</v>
      </c>
    </row>
    <row r="32" spans="1:12" x14ac:dyDescent="0.35">
      <c r="A32" s="33">
        <v>44208.23846064815</v>
      </c>
      <c r="B32" s="2">
        <v>44204</v>
      </c>
      <c r="C32" s="2">
        <v>44204</v>
      </c>
      <c r="D32">
        <v>350432</v>
      </c>
      <c r="E32" s="37">
        <v>19.27</v>
      </c>
      <c r="F32" s="37">
        <v>70</v>
      </c>
    </row>
    <row r="33" spans="1:6" x14ac:dyDescent="0.35">
      <c r="A33" s="33">
        <v>44208.239328703705</v>
      </c>
      <c r="B33" s="2">
        <v>44204</v>
      </c>
      <c r="C33" s="2">
        <v>44204</v>
      </c>
      <c r="D33">
        <v>351323</v>
      </c>
      <c r="E33" s="37">
        <v>22.56</v>
      </c>
      <c r="F33" s="37">
        <v>0</v>
      </c>
    </row>
    <row r="34" spans="1:6" x14ac:dyDescent="0.35">
      <c r="A34" s="33">
        <v>44208.239675925928</v>
      </c>
      <c r="B34" s="2">
        <v>44204</v>
      </c>
      <c r="C34" s="2">
        <v>44204</v>
      </c>
      <c r="D34">
        <v>355439</v>
      </c>
      <c r="E34" s="37">
        <v>15.16</v>
      </c>
      <c r="F34" s="37">
        <v>54</v>
      </c>
    </row>
    <row r="35" spans="1:6" x14ac:dyDescent="0.35">
      <c r="A35" s="33">
        <v>44208.243090277778</v>
      </c>
      <c r="B35" s="2">
        <v>44206</v>
      </c>
      <c r="C35" s="2">
        <v>44206</v>
      </c>
      <c r="D35">
        <v>354030</v>
      </c>
      <c r="E35" s="37">
        <v>14.03</v>
      </c>
      <c r="F35" s="37">
        <v>60</v>
      </c>
    </row>
    <row r="36" spans="1:6" x14ac:dyDescent="0.35">
      <c r="A36" s="33">
        <v>44208.243784722225</v>
      </c>
      <c r="B36" s="2">
        <v>44207</v>
      </c>
      <c r="C36" s="2">
        <v>44207</v>
      </c>
      <c r="D36">
        <v>350432</v>
      </c>
      <c r="E36" s="37">
        <v>20.440000000000001</v>
      </c>
      <c r="F36" s="37">
        <v>0</v>
      </c>
    </row>
    <row r="37" spans="1:6" x14ac:dyDescent="0.35">
      <c r="A37" s="33">
        <v>44208.244108796294</v>
      </c>
      <c r="B37" s="2">
        <v>44207</v>
      </c>
      <c r="C37" s="2">
        <v>44207</v>
      </c>
      <c r="D37">
        <v>350437</v>
      </c>
      <c r="E37" s="37">
        <v>28.74</v>
      </c>
      <c r="F37" s="37">
        <v>30</v>
      </c>
    </row>
    <row r="38" spans="1:6" x14ac:dyDescent="0.35">
      <c r="A38" s="33">
        <v>44208.260960648149</v>
      </c>
      <c r="B38" s="2">
        <v>44207</v>
      </c>
      <c r="C38" s="2">
        <v>44207</v>
      </c>
      <c r="D38">
        <v>352613</v>
      </c>
      <c r="E38" s="35">
        <v>1.49</v>
      </c>
      <c r="F38" s="35">
        <v>65</v>
      </c>
    </row>
    <row r="39" spans="1:6" x14ac:dyDescent="0.35">
      <c r="A39" s="33">
        <v>44208.261238425926</v>
      </c>
      <c r="B39" s="2">
        <v>44207</v>
      </c>
      <c r="C39" s="2">
        <v>44207</v>
      </c>
      <c r="D39">
        <v>357150</v>
      </c>
      <c r="E39" s="35">
        <v>8.0299999999999994</v>
      </c>
      <c r="F39" s="35">
        <v>55</v>
      </c>
    </row>
    <row r="40" spans="1:6" x14ac:dyDescent="0.35">
      <c r="A40" s="33">
        <v>44210.528935185182</v>
      </c>
      <c r="B40" s="2">
        <v>44207</v>
      </c>
      <c r="C40" s="2">
        <v>44207</v>
      </c>
      <c r="D40">
        <v>350432</v>
      </c>
      <c r="E40" s="37">
        <v>20.440000000000001</v>
      </c>
      <c r="F40" s="37">
        <v>0</v>
      </c>
    </row>
    <row r="41" spans="1:6" x14ac:dyDescent="0.35">
      <c r="A41" s="33">
        <v>44210.529178240744</v>
      </c>
      <c r="B41" s="2">
        <v>44207</v>
      </c>
      <c r="C41" s="2">
        <v>44207</v>
      </c>
      <c r="D41">
        <v>350437</v>
      </c>
      <c r="E41" s="37">
        <v>28.74</v>
      </c>
      <c r="F41" s="37">
        <v>30</v>
      </c>
    </row>
    <row r="42" spans="1:6" x14ac:dyDescent="0.35">
      <c r="A42" s="33">
        <v>44210.534201388888</v>
      </c>
      <c r="B42" s="2">
        <v>44209</v>
      </c>
      <c r="C42" s="2">
        <v>44209</v>
      </c>
      <c r="D42">
        <v>352613</v>
      </c>
      <c r="E42" s="35">
        <v>7.46</v>
      </c>
      <c r="F42" s="35">
        <v>60</v>
      </c>
    </row>
    <row r="43" spans="1:6" x14ac:dyDescent="0.35">
      <c r="A43" s="33">
        <v>44213.425381944442</v>
      </c>
      <c r="B43" s="2">
        <v>44210</v>
      </c>
      <c r="C43" s="2">
        <v>44210</v>
      </c>
      <c r="D43">
        <v>357150</v>
      </c>
      <c r="E43" s="35">
        <v>0</v>
      </c>
      <c r="F43" s="35">
        <v>65</v>
      </c>
    </row>
    <row r="44" spans="1:6" x14ac:dyDescent="0.35">
      <c r="A44" s="33">
        <v>44213.427314814813</v>
      </c>
      <c r="B44" s="2">
        <v>44211</v>
      </c>
      <c r="C44" s="2">
        <v>44211</v>
      </c>
      <c r="D44">
        <v>352613</v>
      </c>
      <c r="E44" s="35">
        <v>20.34</v>
      </c>
      <c r="F44" s="35">
        <v>0</v>
      </c>
    </row>
    <row r="45" spans="1:6" x14ac:dyDescent="0.35">
      <c r="A45" s="33">
        <v>44213.42832175926</v>
      </c>
      <c r="B45" s="2">
        <v>44212</v>
      </c>
      <c r="C45" s="2">
        <v>44212</v>
      </c>
      <c r="D45">
        <v>357150</v>
      </c>
      <c r="E45" s="35">
        <v>0</v>
      </c>
      <c r="F45" s="35">
        <v>75</v>
      </c>
    </row>
    <row r="46" spans="1:6" x14ac:dyDescent="0.35">
      <c r="A46" s="33">
        <v>44213.452604166669</v>
      </c>
      <c r="B46" s="2">
        <v>44210</v>
      </c>
      <c r="C46" s="2">
        <v>44210</v>
      </c>
      <c r="D46">
        <v>351323</v>
      </c>
      <c r="E46" s="37">
        <v>21.95</v>
      </c>
      <c r="F46" s="37">
        <v>0</v>
      </c>
    </row>
    <row r="47" spans="1:6" x14ac:dyDescent="0.35">
      <c r="A47" s="33">
        <v>44214.35497685185</v>
      </c>
      <c r="B47" s="2">
        <v>44212</v>
      </c>
      <c r="C47" s="2">
        <v>44212</v>
      </c>
      <c r="D47">
        <v>353927</v>
      </c>
      <c r="E47" s="37">
        <v>43.25</v>
      </c>
      <c r="F47" s="37">
        <v>0</v>
      </c>
    </row>
    <row r="48" spans="1:6" x14ac:dyDescent="0.35">
      <c r="A48" s="33">
        <v>44214.355474537035</v>
      </c>
      <c r="B48" s="2">
        <v>44212</v>
      </c>
      <c r="C48" s="2">
        <v>44212</v>
      </c>
      <c r="D48">
        <v>355439</v>
      </c>
      <c r="E48" s="37">
        <v>26</v>
      </c>
      <c r="F48" s="37">
        <v>30</v>
      </c>
    </row>
    <row r="49" spans="1:15" x14ac:dyDescent="0.35">
      <c r="A49" s="33">
        <v>44214.363935185182</v>
      </c>
      <c r="B49" s="2">
        <v>44213</v>
      </c>
      <c r="C49" s="2">
        <v>44213</v>
      </c>
      <c r="D49">
        <v>352613</v>
      </c>
      <c r="E49" s="35">
        <v>23.41</v>
      </c>
      <c r="F49" s="35">
        <v>0</v>
      </c>
    </row>
    <row r="50" spans="1:15" x14ac:dyDescent="0.35">
      <c r="A50" s="33">
        <v>44214.371550925927</v>
      </c>
      <c r="B50" s="2">
        <v>44210</v>
      </c>
      <c r="C50" s="2">
        <v>44210</v>
      </c>
      <c r="D50">
        <v>351323</v>
      </c>
      <c r="E50" s="37">
        <v>21.95</v>
      </c>
      <c r="F50" s="37">
        <v>0</v>
      </c>
    </row>
    <row r="51" spans="1:15" x14ac:dyDescent="0.35">
      <c r="A51" s="33">
        <v>44217.070636574077</v>
      </c>
      <c r="B51" s="2">
        <v>44214</v>
      </c>
      <c r="C51" s="2">
        <v>44214</v>
      </c>
      <c r="D51">
        <v>354030</v>
      </c>
      <c r="E51" s="37">
        <v>0</v>
      </c>
      <c r="F51" s="37">
        <v>50</v>
      </c>
    </row>
    <row r="52" spans="1:15" x14ac:dyDescent="0.35">
      <c r="A52" s="33">
        <v>44217.07130787037</v>
      </c>
      <c r="B52" s="2">
        <v>44215</v>
      </c>
      <c r="C52" s="2">
        <v>44215</v>
      </c>
      <c r="D52">
        <v>355439</v>
      </c>
      <c r="E52" s="37">
        <v>29.2</v>
      </c>
      <c r="F52" s="37">
        <v>25</v>
      </c>
      <c r="G52" s="36"/>
    </row>
    <row r="53" spans="1:15" x14ac:dyDescent="0.35">
      <c r="A53" s="33">
        <v>44217.260972222219</v>
      </c>
      <c r="B53" s="2">
        <v>44216</v>
      </c>
      <c r="C53" s="2">
        <v>44216</v>
      </c>
      <c r="D53">
        <v>357150</v>
      </c>
      <c r="E53" s="35">
        <v>11.86</v>
      </c>
      <c r="F53" s="35">
        <v>70</v>
      </c>
    </row>
    <row r="54" spans="1:15" x14ac:dyDescent="0.35">
      <c r="A54" s="33">
        <v>44217.273402777777</v>
      </c>
      <c r="B54" s="2">
        <v>44212</v>
      </c>
      <c r="C54" s="2">
        <v>44212</v>
      </c>
      <c r="D54">
        <v>355439</v>
      </c>
      <c r="E54" s="37">
        <v>26</v>
      </c>
      <c r="F54" s="37">
        <v>30</v>
      </c>
    </row>
    <row r="55" spans="1:15" x14ac:dyDescent="0.35">
      <c r="A55" s="33">
        <v>44221.197754629633</v>
      </c>
      <c r="B55" s="2">
        <v>44219</v>
      </c>
      <c r="C55" s="2">
        <v>44219</v>
      </c>
      <c r="D55">
        <v>350432</v>
      </c>
      <c r="E55" s="37">
        <v>2.89</v>
      </c>
      <c r="F55" s="37">
        <v>50</v>
      </c>
    </row>
    <row r="56" spans="1:15" x14ac:dyDescent="0.35">
      <c r="A56" s="33">
        <v>44221.198287037034</v>
      </c>
      <c r="B56" s="2">
        <v>44219</v>
      </c>
      <c r="C56" s="2">
        <v>44219</v>
      </c>
      <c r="D56">
        <v>351323</v>
      </c>
      <c r="E56" s="37">
        <v>9.36</v>
      </c>
      <c r="F56" s="37">
        <v>50</v>
      </c>
      <c r="M56" s="32"/>
      <c r="N56" s="34"/>
      <c r="O56" s="34"/>
    </row>
    <row r="57" spans="1:15" x14ac:dyDescent="0.35">
      <c r="A57" s="33">
        <v>44221.198831018519</v>
      </c>
      <c r="B57" s="2">
        <v>44219</v>
      </c>
      <c r="C57" s="2">
        <v>44219</v>
      </c>
      <c r="D57">
        <v>354030</v>
      </c>
      <c r="E57" s="37">
        <v>3.29</v>
      </c>
      <c r="F57" s="37">
        <v>60</v>
      </c>
      <c r="L57" s="32"/>
      <c r="N57" s="35"/>
      <c r="O57" s="35"/>
    </row>
    <row r="58" spans="1:15" x14ac:dyDescent="0.35">
      <c r="A58" s="33">
        <v>44221.213321759256</v>
      </c>
      <c r="B58" s="2">
        <v>44217</v>
      </c>
      <c r="C58" s="2">
        <v>44217</v>
      </c>
      <c r="D58">
        <v>352613</v>
      </c>
      <c r="E58" s="35">
        <v>0</v>
      </c>
      <c r="F58" s="35">
        <v>70</v>
      </c>
      <c r="M58" s="35"/>
      <c r="N58" s="35"/>
    </row>
    <row r="59" spans="1:15" x14ac:dyDescent="0.35">
      <c r="A59" s="33">
        <v>44221.214444444442</v>
      </c>
      <c r="B59" s="2">
        <v>44217</v>
      </c>
      <c r="C59" s="2">
        <v>44217</v>
      </c>
      <c r="D59">
        <v>357150</v>
      </c>
      <c r="E59" s="35">
        <v>0</v>
      </c>
      <c r="F59" s="35">
        <v>55</v>
      </c>
      <c r="M59" s="37"/>
      <c r="N59" s="37"/>
    </row>
    <row r="60" spans="1:15" x14ac:dyDescent="0.35">
      <c r="A60" s="33">
        <v>44221.214826388888</v>
      </c>
      <c r="B60" s="2">
        <v>44218</v>
      </c>
      <c r="C60" s="2">
        <v>44218</v>
      </c>
      <c r="D60">
        <v>358682</v>
      </c>
      <c r="E60" s="35">
        <v>0</v>
      </c>
      <c r="F60" s="35">
        <v>100</v>
      </c>
      <c r="M60" s="37"/>
      <c r="N60" s="37"/>
    </row>
    <row r="61" spans="1:15" x14ac:dyDescent="0.35">
      <c r="A61" s="33">
        <v>44224.289282407408</v>
      </c>
      <c r="B61" s="2">
        <v>44223</v>
      </c>
      <c r="C61" s="2">
        <v>44223</v>
      </c>
      <c r="D61">
        <v>357150</v>
      </c>
      <c r="E61" s="35">
        <v>0</v>
      </c>
      <c r="F61" s="35">
        <v>50</v>
      </c>
      <c r="M61" s="37"/>
      <c r="N61" s="37"/>
    </row>
    <row r="62" spans="1:15" x14ac:dyDescent="0.35">
      <c r="A62" s="33">
        <v>44224.292708333334</v>
      </c>
      <c r="B62" s="2">
        <v>44220</v>
      </c>
      <c r="C62" s="2">
        <v>44220</v>
      </c>
      <c r="D62">
        <v>351323</v>
      </c>
      <c r="E62" s="37">
        <v>0</v>
      </c>
      <c r="F62" s="37">
        <v>51</v>
      </c>
      <c r="M62" s="35"/>
      <c r="N62" s="35"/>
    </row>
    <row r="63" spans="1:15" x14ac:dyDescent="0.35">
      <c r="A63" s="33">
        <v>44224.296134259261</v>
      </c>
      <c r="B63" s="2">
        <v>44222</v>
      </c>
      <c r="C63" s="2">
        <v>44222</v>
      </c>
      <c r="D63">
        <v>350432</v>
      </c>
      <c r="E63" s="37">
        <v>23.74</v>
      </c>
      <c r="F63" s="37">
        <v>5</v>
      </c>
      <c r="M63" s="37"/>
      <c r="N63" s="37"/>
    </row>
    <row r="64" spans="1:15" x14ac:dyDescent="0.35">
      <c r="A64" s="33">
        <v>44224.297685185185</v>
      </c>
      <c r="B64" s="2">
        <v>44222</v>
      </c>
      <c r="C64" s="2">
        <v>44222</v>
      </c>
      <c r="D64">
        <v>355439</v>
      </c>
      <c r="E64" s="37">
        <v>5.38</v>
      </c>
      <c r="F64" s="37">
        <v>340</v>
      </c>
      <c r="M64" s="37"/>
      <c r="N64" s="37"/>
    </row>
    <row r="65" spans="1:15" x14ac:dyDescent="0.35">
      <c r="A65" s="33">
        <v>44224.3596875</v>
      </c>
      <c r="B65" s="2">
        <v>44219</v>
      </c>
      <c r="C65" s="2">
        <v>44219</v>
      </c>
      <c r="D65">
        <v>354030</v>
      </c>
      <c r="E65" s="37">
        <v>3.29</v>
      </c>
      <c r="F65" s="37">
        <v>60</v>
      </c>
      <c r="M65" s="32"/>
      <c r="N65" s="34"/>
      <c r="O65" s="34"/>
    </row>
    <row r="66" spans="1:15" x14ac:dyDescent="0.35">
      <c r="A66" s="33">
        <v>44224.364131944443</v>
      </c>
      <c r="B66" s="2">
        <v>44219</v>
      </c>
      <c r="C66" s="2">
        <v>44219</v>
      </c>
      <c r="D66">
        <v>350432</v>
      </c>
      <c r="E66" s="37">
        <v>2.89</v>
      </c>
      <c r="F66" s="37">
        <v>50</v>
      </c>
      <c r="M66" s="32"/>
      <c r="N66" s="35"/>
      <c r="O66" s="35"/>
    </row>
    <row r="67" spans="1:15" x14ac:dyDescent="0.35">
      <c r="A67" s="33">
        <v>44224.364918981482</v>
      </c>
      <c r="B67" s="2">
        <v>44219</v>
      </c>
      <c r="C67" s="2">
        <v>44219</v>
      </c>
      <c r="D67">
        <v>351323</v>
      </c>
      <c r="E67" s="37">
        <v>9.36</v>
      </c>
      <c r="F67" s="37">
        <v>50</v>
      </c>
      <c r="M67" s="37"/>
      <c r="N67" s="37"/>
    </row>
    <row r="68" spans="1:15" x14ac:dyDescent="0.35">
      <c r="A68" s="33">
        <v>44224.365717592591</v>
      </c>
      <c r="B68" s="2">
        <v>44219</v>
      </c>
      <c r="C68" s="2">
        <v>44219</v>
      </c>
      <c r="D68">
        <v>354030</v>
      </c>
      <c r="E68" s="37">
        <v>3.29</v>
      </c>
      <c r="F68" s="37">
        <v>60</v>
      </c>
      <c r="M68" s="37"/>
      <c r="N68" s="37"/>
    </row>
    <row r="69" spans="1:15" x14ac:dyDescent="0.35">
      <c r="A69" s="33">
        <v>44226.186921296299</v>
      </c>
      <c r="B69" s="2">
        <v>44225</v>
      </c>
      <c r="C69" s="2">
        <v>44225</v>
      </c>
      <c r="D69">
        <v>352613</v>
      </c>
      <c r="E69" s="35">
        <v>19.98</v>
      </c>
      <c r="F69" s="35">
        <v>70</v>
      </c>
      <c r="M69" s="37"/>
      <c r="N69" s="37"/>
    </row>
    <row r="70" spans="1:15" x14ac:dyDescent="0.35">
      <c r="A70" s="33">
        <v>44226.187314814815</v>
      </c>
      <c r="B70" s="2">
        <v>44224</v>
      </c>
      <c r="C70" s="2">
        <v>44224</v>
      </c>
      <c r="D70">
        <v>357150</v>
      </c>
      <c r="E70" s="35">
        <v>0</v>
      </c>
      <c r="F70" s="35">
        <v>50</v>
      </c>
      <c r="M70" s="37"/>
      <c r="N70" s="37"/>
    </row>
    <row r="71" spans="1:15" x14ac:dyDescent="0.35">
      <c r="A71" s="33">
        <v>44226.1875462963</v>
      </c>
      <c r="B71" s="2">
        <v>44224</v>
      </c>
      <c r="C71" s="2">
        <v>44224</v>
      </c>
      <c r="D71">
        <v>358682</v>
      </c>
      <c r="E71" s="35">
        <v>0</v>
      </c>
      <c r="F71" s="35">
        <v>160</v>
      </c>
      <c r="M71" s="35"/>
      <c r="N71" s="35"/>
    </row>
    <row r="72" spans="1:15" x14ac:dyDescent="0.35">
      <c r="A72" s="33">
        <v>44226.194988425923</v>
      </c>
      <c r="B72" s="2">
        <v>44222</v>
      </c>
      <c r="C72" s="2">
        <v>44222</v>
      </c>
      <c r="D72">
        <v>350432</v>
      </c>
      <c r="E72" s="37">
        <v>23.74</v>
      </c>
      <c r="F72" s="37">
        <v>5</v>
      </c>
      <c r="M72" s="35"/>
      <c r="N72" s="35"/>
    </row>
    <row r="73" spans="1:15" x14ac:dyDescent="0.35">
      <c r="A73" s="33">
        <v>44226.196273148147</v>
      </c>
      <c r="B73" s="2">
        <v>44222</v>
      </c>
      <c r="C73" s="2">
        <v>44222</v>
      </c>
      <c r="D73">
        <v>355439</v>
      </c>
      <c r="E73" s="37">
        <v>5.38</v>
      </c>
      <c r="F73" s="37">
        <v>340</v>
      </c>
      <c r="M73" s="37"/>
      <c r="N73" s="37"/>
    </row>
    <row r="74" spans="1:15" x14ac:dyDescent="0.35">
      <c r="A74" s="33">
        <v>44226.199803240743</v>
      </c>
      <c r="B74" s="2">
        <v>44225</v>
      </c>
      <c r="C74" s="2">
        <v>44225</v>
      </c>
      <c r="D74">
        <v>350432</v>
      </c>
      <c r="E74" s="37">
        <v>21.05</v>
      </c>
      <c r="F74" s="37">
        <v>25.87</v>
      </c>
      <c r="M74" s="37"/>
      <c r="N74" s="37"/>
    </row>
    <row r="75" spans="1:15" x14ac:dyDescent="0.35">
      <c r="A75" s="33">
        <v>44226.204074074078</v>
      </c>
      <c r="B75" s="2">
        <v>44225</v>
      </c>
      <c r="C75" s="2">
        <v>44225</v>
      </c>
      <c r="D75">
        <v>354030</v>
      </c>
      <c r="E75" s="37">
        <v>6.18</v>
      </c>
      <c r="F75" s="37">
        <v>80</v>
      </c>
      <c r="M75" s="35"/>
      <c r="N75" s="35"/>
    </row>
    <row r="76" spans="1:15" x14ac:dyDescent="0.35">
      <c r="A76" s="33">
        <v>44226.205810185187</v>
      </c>
      <c r="B76" s="2">
        <v>44224</v>
      </c>
      <c r="C76" s="2">
        <v>44224</v>
      </c>
      <c r="D76">
        <v>358682</v>
      </c>
      <c r="E76" s="35">
        <v>0</v>
      </c>
      <c r="F76" s="35">
        <v>160</v>
      </c>
      <c r="M76" s="35"/>
      <c r="N76" s="35"/>
    </row>
    <row r="77" spans="1:15" x14ac:dyDescent="0.35">
      <c r="A77" s="33">
        <v>44226.206041666665</v>
      </c>
      <c r="B77" s="2">
        <v>44224</v>
      </c>
      <c r="C77" s="2">
        <v>44224</v>
      </c>
      <c r="D77">
        <v>357150</v>
      </c>
      <c r="E77" s="35">
        <v>0</v>
      </c>
      <c r="F77" s="35">
        <v>50</v>
      </c>
      <c r="M77" s="37"/>
      <c r="N77" s="37"/>
    </row>
    <row r="78" spans="1:15" x14ac:dyDescent="0.35">
      <c r="A78" s="33">
        <v>44226.206493055557</v>
      </c>
      <c r="B78" s="2">
        <v>44225</v>
      </c>
      <c r="C78" s="2">
        <v>44225</v>
      </c>
      <c r="D78">
        <v>352613</v>
      </c>
      <c r="E78" s="35">
        <v>19.98</v>
      </c>
      <c r="F78" s="35">
        <v>70</v>
      </c>
      <c r="J78" s="32" t="s">
        <v>104</v>
      </c>
      <c r="K78" s="34" t="s">
        <v>103</v>
      </c>
      <c r="L78" s="34" t="s">
        <v>101</v>
      </c>
      <c r="M78" s="37"/>
      <c r="N78" s="37"/>
    </row>
    <row r="79" spans="1:15" x14ac:dyDescent="0.35">
      <c r="A79" s="33">
        <v>44227.343969907408</v>
      </c>
      <c r="B79" s="2">
        <v>44226</v>
      </c>
      <c r="C79" s="2">
        <v>44226</v>
      </c>
      <c r="D79">
        <v>352613</v>
      </c>
      <c r="E79" s="35">
        <v>7.88</v>
      </c>
      <c r="F79" s="35">
        <v>60</v>
      </c>
      <c r="J79">
        <v>352613</v>
      </c>
      <c r="K79" s="35"/>
      <c r="L79" s="35">
        <v>60</v>
      </c>
      <c r="M79" s="37"/>
      <c r="N79" s="37"/>
    </row>
    <row r="80" spans="1:15" x14ac:dyDescent="0.35">
      <c r="A80" s="33">
        <v>44227.363067129627</v>
      </c>
      <c r="B80" s="2">
        <v>44225</v>
      </c>
      <c r="C80" s="2">
        <v>44225</v>
      </c>
      <c r="D80">
        <v>350432</v>
      </c>
      <c r="E80" s="37">
        <v>21.05</v>
      </c>
      <c r="F80" s="37">
        <v>25.87</v>
      </c>
      <c r="J80">
        <v>350432</v>
      </c>
      <c r="K80" s="37">
        <v>21.05</v>
      </c>
      <c r="L80" s="37">
        <v>25.87</v>
      </c>
      <c r="M80" s="37"/>
      <c r="N80" s="37"/>
    </row>
    <row r="81" spans="1:14" x14ac:dyDescent="0.35">
      <c r="A81" s="33">
        <v>44227.368148148147</v>
      </c>
      <c r="B81" s="2">
        <v>44225</v>
      </c>
      <c r="C81" s="2">
        <v>44225</v>
      </c>
      <c r="D81">
        <v>354030</v>
      </c>
      <c r="E81" s="37">
        <v>6.18</v>
      </c>
      <c r="F81" s="37">
        <v>80</v>
      </c>
      <c r="J81">
        <v>354030</v>
      </c>
      <c r="K81" s="37"/>
      <c r="L81" s="37">
        <v>80</v>
      </c>
      <c r="M81" s="37"/>
      <c r="N81" s="37"/>
    </row>
    <row r="82" spans="1:14" x14ac:dyDescent="0.35">
      <c r="A82" s="33">
        <v>44227.419560185182</v>
      </c>
      <c r="B82" s="2">
        <v>44225</v>
      </c>
      <c r="C82" s="2">
        <v>44225</v>
      </c>
      <c r="D82">
        <v>355439</v>
      </c>
      <c r="E82" s="35">
        <v>29.76</v>
      </c>
      <c r="F82" s="35">
        <v>0</v>
      </c>
      <c r="M82" s="37"/>
      <c r="N82" s="37"/>
    </row>
    <row r="83" spans="1:14" x14ac:dyDescent="0.35">
      <c r="A83" s="33">
        <v>44227.41982638889</v>
      </c>
      <c r="B83" s="2">
        <v>44226</v>
      </c>
      <c r="C83" s="2">
        <v>44226</v>
      </c>
      <c r="D83">
        <v>355439</v>
      </c>
      <c r="E83" s="35">
        <v>21.18</v>
      </c>
      <c r="F83" s="35">
        <v>5</v>
      </c>
      <c r="L83" s="32"/>
      <c r="M83" s="34"/>
      <c r="N83" s="34"/>
    </row>
    <row r="84" spans="1:14" x14ac:dyDescent="0.35">
      <c r="A84" s="33">
        <v>44229.231342592589</v>
      </c>
      <c r="B84" s="2">
        <v>44225</v>
      </c>
      <c r="C84" s="2">
        <v>44225</v>
      </c>
      <c r="D84">
        <v>354030</v>
      </c>
      <c r="E84" s="37">
        <v>6.18</v>
      </c>
      <c r="F84" s="37">
        <v>80</v>
      </c>
      <c r="M84" s="35"/>
      <c r="N84" s="35"/>
    </row>
    <row r="85" spans="1:14" x14ac:dyDescent="0.35">
      <c r="A85" s="33">
        <v>44229.2340625</v>
      </c>
      <c r="B85" s="2">
        <v>44225</v>
      </c>
      <c r="C85" s="2">
        <v>44225</v>
      </c>
      <c r="D85">
        <v>354030</v>
      </c>
      <c r="E85" s="37">
        <v>6.18</v>
      </c>
      <c r="F85" s="37">
        <v>80</v>
      </c>
      <c r="M85" s="37"/>
      <c r="N85" s="37"/>
    </row>
    <row r="86" spans="1:14" x14ac:dyDescent="0.35">
      <c r="A86" s="33">
        <v>44229.256585648145</v>
      </c>
      <c r="B86" s="2">
        <v>44227</v>
      </c>
      <c r="C86" s="2">
        <v>44227</v>
      </c>
      <c r="D86">
        <v>355439</v>
      </c>
      <c r="E86" s="35">
        <v>22.25</v>
      </c>
      <c r="F86" s="35">
        <v>40</v>
      </c>
      <c r="M86" s="37"/>
      <c r="N86" s="37"/>
    </row>
    <row r="87" spans="1:14" x14ac:dyDescent="0.35">
      <c r="A87" s="33">
        <v>44229.256967592592</v>
      </c>
      <c r="B87" s="2">
        <v>44227</v>
      </c>
      <c r="C87" s="2">
        <v>44227</v>
      </c>
      <c r="D87">
        <v>357150</v>
      </c>
      <c r="E87" s="35">
        <v>39.4</v>
      </c>
      <c r="F87" s="35">
        <v>50</v>
      </c>
      <c r="M87" s="35"/>
      <c r="N87" s="35"/>
    </row>
    <row r="88" spans="1:14" x14ac:dyDescent="0.35">
      <c r="A88" s="33">
        <v>44229.25744212963</v>
      </c>
      <c r="B88" s="2">
        <v>44227</v>
      </c>
      <c r="C88" s="2">
        <v>44227</v>
      </c>
      <c r="D88">
        <v>359606</v>
      </c>
      <c r="E88" s="35">
        <v>22.36</v>
      </c>
      <c r="F88" s="35">
        <v>0</v>
      </c>
      <c r="M88" s="37"/>
      <c r="N88" s="37"/>
    </row>
    <row r="89" spans="1:14" x14ac:dyDescent="0.35">
      <c r="A89" s="33">
        <v>44229.258333333331</v>
      </c>
      <c r="B89" s="2">
        <v>44228</v>
      </c>
      <c r="C89" s="2">
        <v>44228</v>
      </c>
      <c r="D89">
        <v>352613</v>
      </c>
      <c r="E89" s="35">
        <v>6.99</v>
      </c>
      <c r="F89" s="35">
        <v>60</v>
      </c>
      <c r="M89" s="37"/>
      <c r="N89" s="37"/>
    </row>
    <row r="90" spans="1:14" x14ac:dyDescent="0.35">
      <c r="A90" s="33">
        <v>44229.258564814816</v>
      </c>
      <c r="B90" s="2">
        <v>44228</v>
      </c>
      <c r="C90" s="2">
        <v>44228</v>
      </c>
      <c r="D90">
        <v>355439</v>
      </c>
      <c r="E90" s="35">
        <v>0</v>
      </c>
      <c r="F90" s="35">
        <v>85</v>
      </c>
      <c r="M90" s="37"/>
      <c r="N90" s="37"/>
    </row>
    <row r="91" spans="1:14" x14ac:dyDescent="0.35">
      <c r="A91" s="33">
        <v>44229.279097222221</v>
      </c>
      <c r="B91" s="2">
        <v>44227</v>
      </c>
      <c r="C91" s="2">
        <v>44227</v>
      </c>
      <c r="D91">
        <v>355439</v>
      </c>
      <c r="E91" s="35">
        <v>22.25</v>
      </c>
      <c r="F91" s="35">
        <v>40</v>
      </c>
      <c r="M91" s="37"/>
      <c r="N91" s="37"/>
    </row>
    <row r="92" spans="1:14" x14ac:dyDescent="0.35">
      <c r="A92" s="33">
        <v>44229.312557870369</v>
      </c>
      <c r="B92" s="2">
        <v>44227</v>
      </c>
      <c r="C92" s="2">
        <v>44227</v>
      </c>
      <c r="D92">
        <v>355439</v>
      </c>
      <c r="E92" s="35">
        <v>22.25</v>
      </c>
      <c r="F92" s="35">
        <v>40</v>
      </c>
      <c r="H92" s="32" t="s">
        <v>104</v>
      </c>
      <c r="I92" s="34" t="s">
        <v>103</v>
      </c>
      <c r="J92" s="34" t="s">
        <v>101</v>
      </c>
      <c r="M92" s="37"/>
      <c r="N92" s="37"/>
    </row>
    <row r="93" spans="1:14" x14ac:dyDescent="0.35">
      <c r="A93" s="33">
        <v>44229.31322916667</v>
      </c>
      <c r="B93" s="2">
        <v>44227</v>
      </c>
      <c r="C93" s="2">
        <v>44227</v>
      </c>
      <c r="D93">
        <v>355439</v>
      </c>
      <c r="E93" s="35">
        <v>22.25</v>
      </c>
      <c r="F93" s="35">
        <v>40</v>
      </c>
      <c r="H93">
        <v>352613</v>
      </c>
      <c r="I93" s="35"/>
      <c r="J93" s="35">
        <v>60</v>
      </c>
      <c r="M93" s="37"/>
      <c r="N93" s="37"/>
    </row>
    <row r="94" spans="1:14" x14ac:dyDescent="0.35">
      <c r="A94" s="33">
        <v>44229.314212962963</v>
      </c>
      <c r="B94" s="2">
        <v>44227</v>
      </c>
      <c r="C94" s="2">
        <v>44227</v>
      </c>
      <c r="D94">
        <v>355439</v>
      </c>
      <c r="E94" s="35">
        <v>22.25</v>
      </c>
      <c r="F94" s="35">
        <v>40</v>
      </c>
      <c r="H94">
        <v>355439</v>
      </c>
      <c r="I94" s="35">
        <v>0</v>
      </c>
      <c r="J94" s="35">
        <v>85</v>
      </c>
      <c r="M94" s="35"/>
      <c r="N94" s="35"/>
    </row>
    <row r="95" spans="1:14" x14ac:dyDescent="0.35">
      <c r="A95" s="33">
        <v>44229.314710648148</v>
      </c>
      <c r="B95" s="2">
        <v>44228</v>
      </c>
      <c r="C95" s="2">
        <v>44228</v>
      </c>
      <c r="D95">
        <v>355439</v>
      </c>
      <c r="E95" s="35">
        <v>0</v>
      </c>
      <c r="F95" s="35">
        <v>85</v>
      </c>
      <c r="M95" s="35"/>
      <c r="N95" s="35"/>
    </row>
    <row r="96" spans="1:14" x14ac:dyDescent="0.35">
      <c r="A96" s="33">
        <v>44229.317037037035</v>
      </c>
      <c r="B96" s="2">
        <v>44225</v>
      </c>
      <c r="C96" s="2">
        <v>44225</v>
      </c>
      <c r="D96">
        <v>355439</v>
      </c>
      <c r="E96" s="35">
        <v>29.76</v>
      </c>
      <c r="F96" s="35">
        <v>0</v>
      </c>
      <c r="M96" s="37"/>
      <c r="N96" s="37"/>
    </row>
    <row r="97" spans="1:14" x14ac:dyDescent="0.35">
      <c r="A97" s="33">
        <v>44229.317233796297</v>
      </c>
      <c r="B97" s="2">
        <v>44226</v>
      </c>
      <c r="C97" s="2">
        <v>44226</v>
      </c>
      <c r="D97">
        <v>355439</v>
      </c>
      <c r="E97" s="35">
        <v>21.18</v>
      </c>
      <c r="F97" s="35">
        <v>5</v>
      </c>
      <c r="M97" s="37"/>
      <c r="N97" s="37"/>
    </row>
    <row r="98" spans="1:14" x14ac:dyDescent="0.35">
      <c r="M98" s="35"/>
      <c r="N98" s="35"/>
    </row>
    <row r="99" spans="1:14" x14ac:dyDescent="0.35">
      <c r="M99" s="35"/>
      <c r="N99" s="35"/>
    </row>
    <row r="100" spans="1:14" x14ac:dyDescent="0.35">
      <c r="M100" s="35"/>
      <c r="N100" s="35"/>
    </row>
    <row r="101" spans="1:14" x14ac:dyDescent="0.35">
      <c r="M101" s="35"/>
      <c r="N101" s="35"/>
    </row>
    <row r="102" spans="1:14" x14ac:dyDescent="0.35">
      <c r="M102" s="37"/>
      <c r="N102" s="37"/>
    </row>
    <row r="103" spans="1:14" x14ac:dyDescent="0.35">
      <c r="M103" s="37"/>
      <c r="N103" s="37"/>
    </row>
    <row r="104" spans="1:14" x14ac:dyDescent="0.35">
      <c r="M104" s="37"/>
      <c r="N104" s="37"/>
    </row>
    <row r="105" spans="1:14" x14ac:dyDescent="0.35">
      <c r="M105" s="35"/>
      <c r="N105" s="35"/>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6AF-172C-4069-8D6E-5161EED00FBB}">
  <sheetPr codeName="Sheet8"/>
  <dimension ref="A1:K127"/>
  <sheetViews>
    <sheetView workbookViewId="0">
      <selection activeCell="B119" sqref="B119:C120"/>
    </sheetView>
  </sheetViews>
  <sheetFormatPr defaultRowHeight="14.5" x14ac:dyDescent="0.35"/>
  <cols>
    <col min="1" max="1" width="24.54296875" customWidth="1"/>
    <col min="2" max="2" width="11.1796875" customWidth="1"/>
    <col min="3" max="3" width="24.453125" customWidth="1"/>
    <col min="7" max="7" width="13" customWidth="1"/>
    <col min="8" max="8" width="16.81640625" customWidth="1"/>
    <col min="9" max="9" width="18.81640625" customWidth="1"/>
    <col min="11" max="11" width="19.1796875" customWidth="1"/>
  </cols>
  <sheetData>
    <row r="1" spans="1:11" x14ac:dyDescent="0.35">
      <c r="A1" s="32" t="s">
        <v>107</v>
      </c>
      <c r="B1" s="32" t="s">
        <v>104</v>
      </c>
      <c r="C1" s="32" t="s">
        <v>105</v>
      </c>
      <c r="D1" s="32"/>
      <c r="K1" t="s">
        <v>108</v>
      </c>
    </row>
    <row r="2" spans="1:11" hidden="1" x14ac:dyDescent="0.35">
      <c r="A2" s="33">
        <v>44197.488113425927</v>
      </c>
      <c r="B2" s="32">
        <v>351323</v>
      </c>
      <c r="C2" s="14">
        <v>44196</v>
      </c>
    </row>
    <row r="3" spans="1:11" hidden="1" x14ac:dyDescent="0.35">
      <c r="A3" s="33">
        <v>44197.489328703705</v>
      </c>
      <c r="B3" s="32">
        <v>355439</v>
      </c>
      <c r="C3" s="14">
        <v>44196</v>
      </c>
    </row>
    <row r="4" spans="1:11" hidden="1" x14ac:dyDescent="0.35">
      <c r="A4" s="33">
        <v>44202.262511574074</v>
      </c>
      <c r="B4" s="32">
        <v>350432</v>
      </c>
      <c r="C4" s="14">
        <v>44201</v>
      </c>
    </row>
    <row r="5" spans="1:11" hidden="1" x14ac:dyDescent="0.35">
      <c r="A5" s="33">
        <v>44202.262754629628</v>
      </c>
      <c r="B5" s="32">
        <v>350437</v>
      </c>
      <c r="C5" s="14">
        <v>44201</v>
      </c>
    </row>
    <row r="6" spans="1:11" hidden="1" x14ac:dyDescent="0.35">
      <c r="A6" s="33">
        <v>44202.262997685182</v>
      </c>
      <c r="B6" s="32">
        <v>351323</v>
      </c>
      <c r="C6" s="14">
        <v>44201</v>
      </c>
    </row>
    <row r="7" spans="1:11" hidden="1" x14ac:dyDescent="0.35">
      <c r="A7" s="33">
        <v>44202.263240740744</v>
      </c>
      <c r="B7" s="32">
        <v>352613</v>
      </c>
      <c r="C7" s="14">
        <v>44201</v>
      </c>
    </row>
    <row r="8" spans="1:11" hidden="1" x14ac:dyDescent="0.35">
      <c r="A8" s="33">
        <v>44202.263518518521</v>
      </c>
      <c r="B8" s="32">
        <v>353927</v>
      </c>
      <c r="C8" s="14">
        <v>44201</v>
      </c>
    </row>
    <row r="9" spans="1:11" hidden="1" x14ac:dyDescent="0.35">
      <c r="A9" s="33">
        <v>44202.263784722221</v>
      </c>
      <c r="B9" s="32">
        <v>354030</v>
      </c>
      <c r="C9" s="14">
        <v>44201</v>
      </c>
    </row>
    <row r="10" spans="1:11" hidden="1" x14ac:dyDescent="0.35">
      <c r="A10" s="33">
        <v>44202.264097222222</v>
      </c>
      <c r="B10" s="32">
        <v>355439</v>
      </c>
      <c r="C10" s="14">
        <v>44201</v>
      </c>
    </row>
    <row r="11" spans="1:11" hidden="1" x14ac:dyDescent="0.35">
      <c r="A11" s="33">
        <v>44204.278946759259</v>
      </c>
      <c r="B11" s="32">
        <v>350432</v>
      </c>
      <c r="C11" s="14">
        <v>44201</v>
      </c>
    </row>
    <row r="12" spans="1:11" hidden="1" x14ac:dyDescent="0.35">
      <c r="A12" s="33">
        <v>44204.279351851852</v>
      </c>
      <c r="B12" s="32">
        <v>350437</v>
      </c>
      <c r="C12" s="14">
        <v>44201</v>
      </c>
    </row>
    <row r="13" spans="1:11" hidden="1" x14ac:dyDescent="0.35">
      <c r="A13" s="33">
        <v>44204.27988425926</v>
      </c>
      <c r="B13" s="32">
        <v>353927</v>
      </c>
      <c r="C13" s="14">
        <v>44201</v>
      </c>
    </row>
    <row r="14" spans="1:11" hidden="1" x14ac:dyDescent="0.35">
      <c r="A14" s="33">
        <v>44204.280729166669</v>
      </c>
      <c r="B14" s="32">
        <v>350432</v>
      </c>
      <c r="C14" s="14">
        <v>44202</v>
      </c>
    </row>
    <row r="15" spans="1:11" hidden="1" x14ac:dyDescent="0.35">
      <c r="A15" s="33">
        <v>44204.280972222223</v>
      </c>
      <c r="B15" s="32">
        <v>350437</v>
      </c>
      <c r="C15" s="14">
        <v>44202</v>
      </c>
    </row>
    <row r="16" spans="1:11" hidden="1" x14ac:dyDescent="0.35">
      <c r="A16" s="33">
        <v>44204.281504629631</v>
      </c>
      <c r="B16" s="32">
        <v>353927</v>
      </c>
      <c r="C16" s="14">
        <v>44202</v>
      </c>
    </row>
    <row r="17" spans="1:3" hidden="1" x14ac:dyDescent="0.35">
      <c r="A17" s="33">
        <v>44204.281793981485</v>
      </c>
      <c r="B17" s="32">
        <v>354030</v>
      </c>
      <c r="C17" s="14">
        <v>44202</v>
      </c>
    </row>
    <row r="18" spans="1:3" hidden="1" x14ac:dyDescent="0.35">
      <c r="A18" s="33">
        <v>44204.282384259262</v>
      </c>
      <c r="B18" s="32">
        <v>350432</v>
      </c>
      <c r="C18" s="14">
        <v>44203</v>
      </c>
    </row>
    <row r="19" spans="1:3" hidden="1" x14ac:dyDescent="0.35">
      <c r="A19" s="33">
        <v>44204.282627314817</v>
      </c>
      <c r="B19" s="32">
        <v>350437</v>
      </c>
      <c r="C19" s="14">
        <v>44203</v>
      </c>
    </row>
    <row r="20" spans="1:3" hidden="1" x14ac:dyDescent="0.35">
      <c r="A20" s="33">
        <v>44204.282881944448</v>
      </c>
      <c r="B20" s="32">
        <v>351323</v>
      </c>
      <c r="C20" s="14">
        <v>44203</v>
      </c>
    </row>
    <row r="21" spans="1:3" hidden="1" x14ac:dyDescent="0.35">
      <c r="A21" s="33">
        <v>44204.28324074074</v>
      </c>
      <c r="B21" s="32">
        <v>353927</v>
      </c>
      <c r="C21" s="14">
        <v>44203</v>
      </c>
    </row>
    <row r="22" spans="1:3" hidden="1" x14ac:dyDescent="0.35">
      <c r="A22" s="33">
        <v>44204.283599537041</v>
      </c>
      <c r="B22" s="32">
        <v>354030</v>
      </c>
      <c r="C22" s="14">
        <v>44203</v>
      </c>
    </row>
    <row r="23" spans="1:3" hidden="1" x14ac:dyDescent="0.35">
      <c r="A23" s="33">
        <v>44204.283842592595</v>
      </c>
      <c r="B23" s="32">
        <v>355439</v>
      </c>
      <c r="C23" s="14">
        <v>44203</v>
      </c>
    </row>
    <row r="24" spans="1:3" hidden="1" x14ac:dyDescent="0.35">
      <c r="A24" s="33">
        <v>44204.295162037037</v>
      </c>
      <c r="B24" s="32" t="s">
        <v>112</v>
      </c>
      <c r="C24" s="14">
        <v>44202</v>
      </c>
    </row>
    <row r="25" spans="1:3" hidden="1" x14ac:dyDescent="0.35">
      <c r="A25" s="33">
        <v>44204.296689814815</v>
      </c>
      <c r="B25" s="32" t="s">
        <v>112</v>
      </c>
      <c r="C25" s="14">
        <v>44201</v>
      </c>
    </row>
    <row r="26" spans="1:3" hidden="1" x14ac:dyDescent="0.35">
      <c r="A26" s="33">
        <v>44205.453009259261</v>
      </c>
      <c r="B26" s="32">
        <v>353927</v>
      </c>
      <c r="C26" s="14">
        <v>44201</v>
      </c>
    </row>
    <row r="27" spans="1:3" hidden="1" x14ac:dyDescent="0.35">
      <c r="A27" s="33">
        <v>44205.453113425923</v>
      </c>
      <c r="B27" s="32">
        <v>353927</v>
      </c>
      <c r="C27" s="14">
        <v>44201</v>
      </c>
    </row>
    <row r="28" spans="1:3" hidden="1" x14ac:dyDescent="0.35">
      <c r="A28" s="33">
        <v>44205.558634259258</v>
      </c>
      <c r="B28" s="32">
        <v>350437</v>
      </c>
      <c r="C28" s="14">
        <v>44204</v>
      </c>
    </row>
    <row r="29" spans="1:3" hidden="1" x14ac:dyDescent="0.35">
      <c r="A29" s="33">
        <v>44205.558969907404</v>
      </c>
      <c r="B29" s="32">
        <v>351323</v>
      </c>
      <c r="C29" s="14">
        <v>44204</v>
      </c>
    </row>
    <row r="30" spans="1:3" hidden="1" x14ac:dyDescent="0.35">
      <c r="A30" s="33">
        <v>44205.559247685182</v>
      </c>
      <c r="B30" s="32">
        <v>353927</v>
      </c>
      <c r="C30" s="14">
        <v>44204</v>
      </c>
    </row>
    <row r="31" spans="1:3" hidden="1" x14ac:dyDescent="0.35">
      <c r="A31" s="33">
        <v>44205.559513888889</v>
      </c>
      <c r="B31" s="32">
        <v>354030</v>
      </c>
      <c r="C31" s="14">
        <v>44204</v>
      </c>
    </row>
    <row r="32" spans="1:3" hidden="1" x14ac:dyDescent="0.35">
      <c r="A32" s="33">
        <v>44205.559791666667</v>
      </c>
      <c r="B32" s="32">
        <v>355439</v>
      </c>
      <c r="C32" s="14">
        <v>44204</v>
      </c>
    </row>
    <row r="33" spans="1:8" hidden="1" x14ac:dyDescent="0.35">
      <c r="A33" s="33">
        <v>44206.405497685184</v>
      </c>
      <c r="B33" s="32">
        <v>350437</v>
      </c>
      <c r="C33" s="14">
        <v>44204</v>
      </c>
    </row>
    <row r="34" spans="1:8" hidden="1" x14ac:dyDescent="0.35">
      <c r="A34" s="33">
        <v>44206.406365740739</v>
      </c>
      <c r="B34" s="32">
        <v>351323</v>
      </c>
      <c r="C34" s="14">
        <v>44204</v>
      </c>
      <c r="G34" s="32"/>
      <c r="H34" s="32"/>
    </row>
    <row r="35" spans="1:8" hidden="1" x14ac:dyDescent="0.35">
      <c r="A35" s="33">
        <v>44206.407222222224</v>
      </c>
      <c r="B35" s="32">
        <v>355439</v>
      </c>
      <c r="C35" s="14">
        <v>44204</v>
      </c>
      <c r="G35" s="32"/>
      <c r="H35" s="14"/>
    </row>
    <row r="36" spans="1:8" hidden="1" x14ac:dyDescent="0.35">
      <c r="A36" s="33">
        <v>44206.407858796294</v>
      </c>
      <c r="B36" s="32">
        <v>350432</v>
      </c>
      <c r="C36" s="14">
        <v>44205</v>
      </c>
      <c r="G36" s="32"/>
      <c r="H36" s="32"/>
    </row>
    <row r="37" spans="1:8" hidden="1" x14ac:dyDescent="0.35">
      <c r="A37" s="33">
        <v>44206.408113425925</v>
      </c>
      <c r="B37" s="32">
        <v>350437</v>
      </c>
      <c r="C37" s="14">
        <v>44205</v>
      </c>
      <c r="G37" s="32"/>
      <c r="H37" s="32"/>
    </row>
    <row r="38" spans="1:8" hidden="1" x14ac:dyDescent="0.35">
      <c r="A38" s="33">
        <v>44206.408379629633</v>
      </c>
      <c r="B38" s="32">
        <v>351323</v>
      </c>
      <c r="C38" s="14">
        <v>44205</v>
      </c>
      <c r="G38" s="32"/>
      <c r="H38" s="32"/>
    </row>
    <row r="39" spans="1:8" hidden="1" x14ac:dyDescent="0.35">
      <c r="A39" s="33">
        <v>44206.409189814818</v>
      </c>
      <c r="B39" s="32">
        <v>355439</v>
      </c>
      <c r="C39" s="14">
        <v>44205</v>
      </c>
    </row>
    <row r="40" spans="1:8" hidden="1" x14ac:dyDescent="0.35">
      <c r="A40" s="33">
        <v>44206.453229166669</v>
      </c>
      <c r="B40" s="32" t="s">
        <v>112</v>
      </c>
      <c r="C40" s="14">
        <v>44202</v>
      </c>
    </row>
    <row r="41" spans="1:8" hidden="1" x14ac:dyDescent="0.35">
      <c r="A41" s="33">
        <v>44206.513252314813</v>
      </c>
      <c r="B41" s="32">
        <v>350432</v>
      </c>
      <c r="C41" s="14">
        <v>44205</v>
      </c>
    </row>
    <row r="42" spans="1:8" hidden="1" x14ac:dyDescent="0.35">
      <c r="A42" s="33">
        <v>44206.516331018516</v>
      </c>
      <c r="B42" s="32">
        <v>350437</v>
      </c>
      <c r="C42" s="14">
        <v>44204</v>
      </c>
    </row>
    <row r="43" spans="1:8" hidden="1" x14ac:dyDescent="0.35">
      <c r="A43" s="33">
        <v>44206.518379629626</v>
      </c>
      <c r="B43" s="32">
        <v>351323</v>
      </c>
      <c r="C43" s="14">
        <v>44204</v>
      </c>
    </row>
    <row r="44" spans="1:8" hidden="1" x14ac:dyDescent="0.35">
      <c r="A44" s="33">
        <v>44206.523333333331</v>
      </c>
      <c r="B44" s="32">
        <v>355439</v>
      </c>
      <c r="C44" s="14">
        <v>44204</v>
      </c>
    </row>
    <row r="45" spans="1:8" hidden="1" x14ac:dyDescent="0.35">
      <c r="A45" s="33">
        <v>44206.523958333331</v>
      </c>
      <c r="B45" s="32">
        <v>355439</v>
      </c>
      <c r="C45" s="14">
        <v>44204</v>
      </c>
    </row>
    <row r="46" spans="1:8" hidden="1" x14ac:dyDescent="0.35">
      <c r="A46" s="33">
        <v>44208.242303240739</v>
      </c>
      <c r="B46" s="32">
        <v>350437</v>
      </c>
      <c r="C46" s="14">
        <v>44206</v>
      </c>
    </row>
    <row r="47" spans="1:8" hidden="1" x14ac:dyDescent="0.35">
      <c r="A47" s="33">
        <v>44208.243726851855</v>
      </c>
      <c r="B47" s="32">
        <v>350432</v>
      </c>
      <c r="C47" s="14">
        <v>44207</v>
      </c>
    </row>
    <row r="48" spans="1:8" hidden="1" x14ac:dyDescent="0.35">
      <c r="A48" s="33">
        <v>44208.244062500002</v>
      </c>
      <c r="B48" s="32">
        <v>350437</v>
      </c>
      <c r="C48" s="14">
        <v>44207</v>
      </c>
    </row>
    <row r="49" spans="1:8" hidden="1" x14ac:dyDescent="0.35">
      <c r="A49" s="33">
        <v>44208.244409722225</v>
      </c>
      <c r="B49" s="32">
        <v>351323</v>
      </c>
      <c r="C49" s="14">
        <v>44207</v>
      </c>
    </row>
    <row r="50" spans="1:8" hidden="1" x14ac:dyDescent="0.35">
      <c r="A50" s="33">
        <v>44208.244687500002</v>
      </c>
      <c r="B50" s="32">
        <v>353927</v>
      </c>
      <c r="C50" s="14">
        <v>44207</v>
      </c>
    </row>
    <row r="51" spans="1:8" hidden="1" x14ac:dyDescent="0.35">
      <c r="A51" s="33">
        <v>44208.244976851849</v>
      </c>
      <c r="B51" s="32">
        <v>354030</v>
      </c>
      <c r="C51" s="14">
        <v>44207</v>
      </c>
    </row>
    <row r="52" spans="1:8" hidden="1" x14ac:dyDescent="0.35">
      <c r="A52" s="33">
        <v>44208.24527777778</v>
      </c>
      <c r="B52" s="32">
        <v>355439</v>
      </c>
      <c r="C52" s="14">
        <v>44207</v>
      </c>
      <c r="G52" s="32"/>
    </row>
    <row r="53" spans="1:8" hidden="1" x14ac:dyDescent="0.35">
      <c r="A53" s="33">
        <v>44210.529652777775</v>
      </c>
      <c r="B53" s="32">
        <v>353927</v>
      </c>
      <c r="C53" s="14">
        <v>44207</v>
      </c>
      <c r="G53" s="32"/>
      <c r="H53" s="14"/>
    </row>
    <row r="54" spans="1:8" hidden="1" x14ac:dyDescent="0.35">
      <c r="A54" s="33">
        <v>44210.531215277777</v>
      </c>
      <c r="B54" s="32">
        <v>353927</v>
      </c>
      <c r="C54" s="14">
        <v>44208</v>
      </c>
      <c r="G54" s="32"/>
      <c r="H54" s="14"/>
    </row>
    <row r="55" spans="1:8" hidden="1" x14ac:dyDescent="0.35">
      <c r="A55" s="33">
        <v>44210.531458333331</v>
      </c>
      <c r="B55" s="32">
        <v>354030</v>
      </c>
      <c r="C55" s="14">
        <v>44208</v>
      </c>
    </row>
    <row r="56" spans="1:8" hidden="1" x14ac:dyDescent="0.35">
      <c r="A56" s="33">
        <v>44210.532048611109</v>
      </c>
      <c r="B56" s="32">
        <v>350432</v>
      </c>
      <c r="C56" s="14">
        <v>44209</v>
      </c>
    </row>
    <row r="57" spans="1:8" hidden="1" x14ac:dyDescent="0.35">
      <c r="A57" s="33">
        <v>44210.532280092593</v>
      </c>
      <c r="B57" s="32">
        <v>350437</v>
      </c>
      <c r="C57" s="14">
        <v>44209</v>
      </c>
    </row>
    <row r="58" spans="1:8" hidden="1" x14ac:dyDescent="0.35">
      <c r="A58" s="33">
        <v>44210.532696759263</v>
      </c>
      <c r="B58" s="32">
        <v>353927</v>
      </c>
      <c r="C58" s="14">
        <v>44209</v>
      </c>
    </row>
    <row r="59" spans="1:8" hidden="1" x14ac:dyDescent="0.35">
      <c r="A59" s="33">
        <v>44210.532939814817</v>
      </c>
      <c r="B59" s="32">
        <v>354030</v>
      </c>
      <c r="C59" s="14">
        <v>44209</v>
      </c>
    </row>
    <row r="60" spans="1:8" hidden="1" x14ac:dyDescent="0.35">
      <c r="A60" s="33">
        <v>44213.430925925924</v>
      </c>
      <c r="B60" s="32">
        <v>350432</v>
      </c>
      <c r="C60" s="14">
        <v>44210</v>
      </c>
    </row>
    <row r="61" spans="1:8" hidden="1" x14ac:dyDescent="0.35">
      <c r="A61" s="33">
        <v>44213.431319444448</v>
      </c>
      <c r="B61" s="32">
        <v>350437</v>
      </c>
      <c r="C61" s="14">
        <v>44210</v>
      </c>
    </row>
    <row r="62" spans="1:8" hidden="1" x14ac:dyDescent="0.35">
      <c r="A62" s="33">
        <v>44214.352013888885</v>
      </c>
      <c r="B62" s="32">
        <v>350437</v>
      </c>
      <c r="C62" s="14">
        <v>44211</v>
      </c>
    </row>
    <row r="63" spans="1:8" hidden="1" x14ac:dyDescent="0.35">
      <c r="A63" s="33">
        <v>44214.353773148148</v>
      </c>
      <c r="B63" s="32">
        <v>355439</v>
      </c>
      <c r="C63" s="14">
        <v>44211</v>
      </c>
    </row>
    <row r="64" spans="1:8" hidden="1" x14ac:dyDescent="0.35">
      <c r="A64" s="33">
        <v>44214.354409722226</v>
      </c>
      <c r="B64" s="32">
        <v>350437</v>
      </c>
      <c r="C64" s="14">
        <v>44212</v>
      </c>
    </row>
    <row r="65" spans="1:9" hidden="1" x14ac:dyDescent="0.35">
      <c r="A65" s="33">
        <v>44214.354699074072</v>
      </c>
      <c r="B65" s="32">
        <v>351323</v>
      </c>
      <c r="C65" s="14">
        <v>44212</v>
      </c>
    </row>
    <row r="66" spans="1:9" hidden="1" x14ac:dyDescent="0.35">
      <c r="A66" s="33">
        <v>44214.355428240742</v>
      </c>
      <c r="B66" s="32">
        <v>355439</v>
      </c>
      <c r="C66" s="14">
        <v>44212</v>
      </c>
    </row>
    <row r="67" spans="1:9" hidden="1" x14ac:dyDescent="0.35">
      <c r="A67" s="33">
        <v>44214.358576388891</v>
      </c>
      <c r="B67" s="32">
        <v>350437</v>
      </c>
      <c r="C67" s="14">
        <v>44213</v>
      </c>
    </row>
    <row r="68" spans="1:9" hidden="1" x14ac:dyDescent="0.35">
      <c r="A68" s="33">
        <v>44214.358877314815</v>
      </c>
      <c r="B68" s="32">
        <v>351323</v>
      </c>
      <c r="C68" s="14">
        <v>44213</v>
      </c>
    </row>
    <row r="69" spans="1:9" hidden="1" x14ac:dyDescent="0.35">
      <c r="A69" s="33">
        <v>44214.359143518515</v>
      </c>
      <c r="B69" s="32">
        <v>353927</v>
      </c>
      <c r="C69" s="14">
        <v>44213</v>
      </c>
      <c r="H69" s="32"/>
      <c r="I69" s="32"/>
    </row>
    <row r="70" spans="1:9" hidden="1" x14ac:dyDescent="0.35">
      <c r="A70" s="33">
        <v>44214.359409722223</v>
      </c>
      <c r="B70" s="32">
        <v>354030</v>
      </c>
      <c r="C70" s="14">
        <v>44213</v>
      </c>
      <c r="H70" s="32"/>
      <c r="I70" s="14"/>
    </row>
    <row r="71" spans="1:9" hidden="1" x14ac:dyDescent="0.35">
      <c r="A71" s="33">
        <v>44214.359722222223</v>
      </c>
      <c r="B71" s="32">
        <v>355439</v>
      </c>
      <c r="C71" s="14">
        <v>44213</v>
      </c>
      <c r="H71" s="32"/>
      <c r="I71" s="14"/>
    </row>
    <row r="72" spans="1:9" hidden="1" x14ac:dyDescent="0.35">
      <c r="A72" s="33">
        <v>44214.372673611113</v>
      </c>
      <c r="B72" s="32">
        <v>350437</v>
      </c>
      <c r="C72" s="14">
        <v>44211</v>
      </c>
    </row>
    <row r="73" spans="1:9" hidden="1" x14ac:dyDescent="0.35">
      <c r="A73" s="33">
        <v>44214.373622685183</v>
      </c>
      <c r="B73" s="32">
        <v>355439</v>
      </c>
      <c r="C73" s="14">
        <v>44211</v>
      </c>
    </row>
    <row r="74" spans="1:9" hidden="1" x14ac:dyDescent="0.35">
      <c r="A74" s="33">
        <v>44217.072384259256</v>
      </c>
      <c r="B74" s="32">
        <v>353927</v>
      </c>
      <c r="C74" s="14">
        <v>44215</v>
      </c>
    </row>
    <row r="75" spans="1:9" hidden="1" x14ac:dyDescent="0.35">
      <c r="A75" s="33">
        <v>44217.280034722222</v>
      </c>
      <c r="B75" s="32">
        <v>353927</v>
      </c>
      <c r="C75" s="14">
        <v>44215</v>
      </c>
    </row>
    <row r="76" spans="1:9" hidden="1" x14ac:dyDescent="0.35">
      <c r="A76" s="33">
        <v>44217.280416666668</v>
      </c>
      <c r="B76" s="32">
        <v>350432</v>
      </c>
      <c r="C76" s="14">
        <v>44216</v>
      </c>
    </row>
    <row r="77" spans="1:9" hidden="1" x14ac:dyDescent="0.35">
      <c r="A77" s="33">
        <v>44217.280648148146</v>
      </c>
      <c r="B77" s="32">
        <v>350437</v>
      </c>
      <c r="C77" s="14">
        <v>44216</v>
      </c>
    </row>
    <row r="78" spans="1:9" hidden="1" x14ac:dyDescent="0.35">
      <c r="A78" s="33">
        <v>44217.280925925923</v>
      </c>
      <c r="B78" s="32">
        <v>351323</v>
      </c>
      <c r="C78" s="14">
        <v>44216</v>
      </c>
    </row>
    <row r="79" spans="1:9" hidden="1" x14ac:dyDescent="0.35">
      <c r="A79" s="33">
        <v>44217.28125</v>
      </c>
      <c r="B79" s="32">
        <v>353927</v>
      </c>
      <c r="C79" s="14">
        <v>44216</v>
      </c>
    </row>
    <row r="80" spans="1:9" hidden="1" x14ac:dyDescent="0.35">
      <c r="A80" s="33">
        <v>44217.281504629631</v>
      </c>
      <c r="B80" s="32">
        <v>354030</v>
      </c>
      <c r="C80" s="14">
        <v>44216</v>
      </c>
    </row>
    <row r="81" spans="1:3" hidden="1" x14ac:dyDescent="0.35">
      <c r="A81" s="33">
        <v>44217.281770833331</v>
      </c>
      <c r="B81" s="32">
        <v>355439</v>
      </c>
      <c r="C81" s="14">
        <v>44216</v>
      </c>
    </row>
    <row r="82" spans="1:3" hidden="1" x14ac:dyDescent="0.35">
      <c r="A82" s="33">
        <v>44221.19630787037</v>
      </c>
      <c r="B82" s="32">
        <v>350437</v>
      </c>
      <c r="C82" s="14">
        <v>44218</v>
      </c>
    </row>
    <row r="83" spans="1:3" hidden="1" x14ac:dyDescent="0.35">
      <c r="A83" s="33">
        <v>44221.197291666664</v>
      </c>
      <c r="B83" s="32">
        <v>355439</v>
      </c>
      <c r="C83" s="14">
        <v>44218</v>
      </c>
    </row>
    <row r="84" spans="1:3" hidden="1" x14ac:dyDescent="0.35">
      <c r="A84" s="33">
        <v>44221.197708333333</v>
      </c>
      <c r="B84" s="32">
        <v>350432</v>
      </c>
      <c r="C84" s="14">
        <v>44219</v>
      </c>
    </row>
    <row r="85" spans="1:3" hidden="1" x14ac:dyDescent="0.35">
      <c r="A85" s="33">
        <v>44221.197962962964</v>
      </c>
      <c r="B85" s="32">
        <v>350437</v>
      </c>
      <c r="C85" s="14">
        <v>44219</v>
      </c>
    </row>
    <row r="86" spans="1:3" hidden="1" x14ac:dyDescent="0.35">
      <c r="A86" s="33">
        <v>44221.198252314818</v>
      </c>
      <c r="B86" s="32">
        <v>351323</v>
      </c>
      <c r="C86" s="14">
        <v>44219</v>
      </c>
    </row>
    <row r="87" spans="1:3" hidden="1" x14ac:dyDescent="0.35">
      <c r="A87" s="33">
        <v>44221.198796296296</v>
      </c>
      <c r="B87" s="32">
        <v>354030</v>
      </c>
      <c r="C87" s="14">
        <v>44219</v>
      </c>
    </row>
    <row r="88" spans="1:3" hidden="1" x14ac:dyDescent="0.35">
      <c r="A88" s="33">
        <v>44221.199108796296</v>
      </c>
      <c r="B88" s="32">
        <v>355439</v>
      </c>
      <c r="C88" s="14">
        <v>44219</v>
      </c>
    </row>
    <row r="89" spans="1:3" hidden="1" x14ac:dyDescent="0.35">
      <c r="A89" s="33">
        <v>44224.294282407405</v>
      </c>
      <c r="B89" s="32">
        <v>350437</v>
      </c>
      <c r="C89" s="14">
        <v>44221</v>
      </c>
    </row>
    <row r="90" spans="1:3" hidden="1" x14ac:dyDescent="0.35">
      <c r="A90" s="33">
        <v>44224.296099537038</v>
      </c>
      <c r="B90" s="32">
        <v>350432</v>
      </c>
      <c r="C90" s="14">
        <v>44222</v>
      </c>
    </row>
    <row r="91" spans="1:3" hidden="1" x14ac:dyDescent="0.35">
      <c r="A91" s="33">
        <v>44224.296377314815</v>
      </c>
      <c r="B91" s="32">
        <v>350437</v>
      </c>
      <c r="C91" s="14">
        <v>44222</v>
      </c>
    </row>
    <row r="92" spans="1:3" hidden="1" x14ac:dyDescent="0.35">
      <c r="A92" s="33">
        <v>44224.296944444446</v>
      </c>
      <c r="B92" s="32">
        <v>353927</v>
      </c>
      <c r="C92" s="14">
        <v>44222</v>
      </c>
    </row>
    <row r="93" spans="1:3" hidden="1" x14ac:dyDescent="0.35">
      <c r="A93" s="33">
        <v>44224.297638888886</v>
      </c>
      <c r="B93" s="32">
        <v>355439</v>
      </c>
      <c r="C93" s="14">
        <v>44222</v>
      </c>
    </row>
    <row r="94" spans="1:3" hidden="1" x14ac:dyDescent="0.35">
      <c r="A94" s="33">
        <v>44224.298229166663</v>
      </c>
      <c r="B94" s="32">
        <v>350432</v>
      </c>
      <c r="C94" s="14">
        <v>44223</v>
      </c>
    </row>
    <row r="95" spans="1:3" hidden="1" x14ac:dyDescent="0.35">
      <c r="A95" s="33">
        <v>44224.29855324074</v>
      </c>
      <c r="B95" s="32">
        <v>350437</v>
      </c>
      <c r="C95" s="14">
        <v>44223</v>
      </c>
    </row>
    <row r="96" spans="1:3" hidden="1" x14ac:dyDescent="0.35">
      <c r="A96" s="33">
        <v>44224.298900462964</v>
      </c>
      <c r="B96" s="32">
        <v>351323</v>
      </c>
      <c r="C96" s="14">
        <v>44223</v>
      </c>
    </row>
    <row r="97" spans="1:3" hidden="1" x14ac:dyDescent="0.35">
      <c r="A97" s="33">
        <v>44224.299212962964</v>
      </c>
      <c r="B97" s="32">
        <v>353927</v>
      </c>
      <c r="C97" s="14">
        <v>44223</v>
      </c>
    </row>
    <row r="98" spans="1:3" hidden="1" x14ac:dyDescent="0.35">
      <c r="A98" s="33">
        <v>44224.299560185187</v>
      </c>
      <c r="B98" s="32">
        <v>354030</v>
      </c>
      <c r="C98" s="14">
        <v>44223</v>
      </c>
    </row>
    <row r="99" spans="1:3" hidden="1" x14ac:dyDescent="0.35">
      <c r="A99" s="33">
        <v>44224.299884259257</v>
      </c>
      <c r="B99" s="32">
        <v>355439</v>
      </c>
      <c r="C99" s="14">
        <v>44223</v>
      </c>
    </row>
    <row r="100" spans="1:3" x14ac:dyDescent="0.35">
      <c r="A100" s="33">
        <v>44226.196574074071</v>
      </c>
      <c r="B100" s="32">
        <v>350432</v>
      </c>
      <c r="C100" s="14">
        <v>44223</v>
      </c>
    </row>
    <row r="101" spans="1:3" x14ac:dyDescent="0.35">
      <c r="A101" s="33">
        <v>44226.198113425926</v>
      </c>
      <c r="B101" s="32">
        <v>350432</v>
      </c>
      <c r="C101" s="14">
        <v>44224</v>
      </c>
    </row>
    <row r="102" spans="1:3" x14ac:dyDescent="0.35">
      <c r="A102" s="33">
        <v>44226.19840277778</v>
      </c>
      <c r="B102" s="32">
        <v>350437</v>
      </c>
      <c r="C102" s="14">
        <v>44224</v>
      </c>
    </row>
    <row r="103" spans="1:3" x14ac:dyDescent="0.35">
      <c r="A103" s="33">
        <v>44226.198888888888</v>
      </c>
      <c r="B103" s="32">
        <v>353927</v>
      </c>
      <c r="C103" s="14">
        <v>44224</v>
      </c>
    </row>
    <row r="104" spans="1:3" x14ac:dyDescent="0.35">
      <c r="A104" s="33">
        <v>44226.19976851852</v>
      </c>
      <c r="B104" s="32">
        <v>350432</v>
      </c>
      <c r="C104" s="14">
        <v>44225</v>
      </c>
    </row>
    <row r="105" spans="1:3" x14ac:dyDescent="0.35">
      <c r="A105" s="33">
        <v>44226.200011574074</v>
      </c>
      <c r="B105" s="32">
        <v>350437</v>
      </c>
      <c r="C105" s="14">
        <v>44225</v>
      </c>
    </row>
    <row r="106" spans="1:3" x14ac:dyDescent="0.35">
      <c r="A106" s="33">
        <v>44226.200266203705</v>
      </c>
      <c r="B106" s="32">
        <v>351323</v>
      </c>
      <c r="C106" s="14">
        <v>44225</v>
      </c>
    </row>
    <row r="107" spans="1:3" x14ac:dyDescent="0.35">
      <c r="A107" s="33">
        <v>44226.203506944446</v>
      </c>
      <c r="B107" s="32">
        <v>351323</v>
      </c>
      <c r="C107" s="14">
        <v>44225</v>
      </c>
    </row>
    <row r="108" spans="1:3" x14ac:dyDescent="0.35">
      <c r="A108" s="33">
        <v>44226.203773148147</v>
      </c>
      <c r="B108" s="32">
        <v>353927</v>
      </c>
      <c r="C108" s="14">
        <v>44225</v>
      </c>
    </row>
    <row r="109" spans="1:3" x14ac:dyDescent="0.35">
      <c r="A109" s="33">
        <v>44226.204027777778</v>
      </c>
      <c r="B109" s="32">
        <v>354030</v>
      </c>
      <c r="C109" s="14">
        <v>44225</v>
      </c>
    </row>
    <row r="110" spans="1:3" x14ac:dyDescent="0.35">
      <c r="A110" s="33">
        <v>44226.204317129632</v>
      </c>
      <c r="B110" s="32">
        <v>355439</v>
      </c>
      <c r="C110" s="14">
        <v>44225</v>
      </c>
    </row>
    <row r="111" spans="1:3" x14ac:dyDescent="0.35">
      <c r="A111" s="33">
        <v>44227.337384259263</v>
      </c>
      <c r="B111" s="32">
        <v>350432</v>
      </c>
      <c r="C111" s="14">
        <v>44226</v>
      </c>
    </row>
    <row r="112" spans="1:3" x14ac:dyDescent="0.35">
      <c r="A112" s="33">
        <v>44227.337997685187</v>
      </c>
      <c r="B112" s="32">
        <v>351323</v>
      </c>
      <c r="C112" s="14">
        <v>44226</v>
      </c>
    </row>
    <row r="113" spans="1:3" x14ac:dyDescent="0.35">
      <c r="A113" s="33">
        <v>44227.338506944441</v>
      </c>
      <c r="B113" s="32">
        <v>354030</v>
      </c>
      <c r="C113" s="14">
        <v>44226</v>
      </c>
    </row>
    <row r="114" spans="1:3" x14ac:dyDescent="0.35">
      <c r="A114" s="33">
        <v>44227.338796296295</v>
      </c>
      <c r="B114" s="32">
        <v>355439</v>
      </c>
      <c r="C114" s="14">
        <v>44226</v>
      </c>
    </row>
    <row r="115" spans="1:3" x14ac:dyDescent="0.35">
      <c r="A115" s="33">
        <v>44227.363483796296</v>
      </c>
      <c r="B115" s="32">
        <v>351323</v>
      </c>
      <c r="C115" s="14">
        <v>44225</v>
      </c>
    </row>
    <row r="116" spans="1:3" x14ac:dyDescent="0.35">
      <c r="A116" s="33">
        <v>44227.368113425924</v>
      </c>
      <c r="B116" s="32">
        <v>354030</v>
      </c>
      <c r="C116" s="14">
        <v>44225</v>
      </c>
    </row>
    <row r="117" spans="1:3" x14ac:dyDescent="0.35">
      <c r="A117" s="33">
        <v>44227.368356481478</v>
      </c>
      <c r="B117" s="32">
        <v>355439</v>
      </c>
      <c r="C117" s="14">
        <v>44225</v>
      </c>
    </row>
    <row r="118" spans="1:3" x14ac:dyDescent="0.35">
      <c r="A118" s="33">
        <v>44229.228425925925</v>
      </c>
      <c r="B118" s="32">
        <v>354030</v>
      </c>
      <c r="C118" s="14">
        <v>44227</v>
      </c>
    </row>
    <row r="119" spans="1:3" x14ac:dyDescent="0.35">
      <c r="A119" s="33">
        <v>44229.228842592594</v>
      </c>
      <c r="B119" s="32">
        <v>354030</v>
      </c>
      <c r="C119" s="14">
        <v>44227</v>
      </c>
    </row>
    <row r="120" spans="1:3" x14ac:dyDescent="0.35">
      <c r="A120" s="33">
        <v>44229.229305555556</v>
      </c>
      <c r="B120" s="32">
        <v>350437</v>
      </c>
      <c r="C120" s="14">
        <v>44227</v>
      </c>
    </row>
    <row r="121" spans="1:3" x14ac:dyDescent="0.35">
      <c r="A121" s="33">
        <v>44229.233101851853</v>
      </c>
      <c r="B121" s="32">
        <v>355439</v>
      </c>
      <c r="C121" s="14">
        <v>44226</v>
      </c>
    </row>
    <row r="122" spans="1:3" x14ac:dyDescent="0.35">
      <c r="A122" s="33">
        <v>44229.235092592593</v>
      </c>
      <c r="B122" s="32">
        <v>350432</v>
      </c>
      <c r="C122" s="14">
        <v>44228</v>
      </c>
    </row>
    <row r="123" spans="1:3" x14ac:dyDescent="0.35">
      <c r="A123" s="33">
        <v>44229.235381944447</v>
      </c>
      <c r="B123" s="32">
        <v>350437</v>
      </c>
      <c r="C123" s="14">
        <v>44228</v>
      </c>
    </row>
    <row r="124" spans="1:3" x14ac:dyDescent="0.35">
      <c r="A124" s="33">
        <v>44229.235636574071</v>
      </c>
      <c r="B124" s="32">
        <v>351323</v>
      </c>
      <c r="C124" s="14">
        <v>44228</v>
      </c>
    </row>
    <row r="125" spans="1:3" x14ac:dyDescent="0.35">
      <c r="A125" s="33">
        <v>44229.235914351855</v>
      </c>
      <c r="B125" s="32">
        <v>353927</v>
      </c>
      <c r="C125" s="14">
        <v>44228</v>
      </c>
    </row>
    <row r="126" spans="1:3" x14ac:dyDescent="0.35">
      <c r="A126" s="33">
        <v>44229.236226851855</v>
      </c>
      <c r="B126" s="32">
        <v>354030</v>
      </c>
      <c r="C126" s="14">
        <v>44228</v>
      </c>
    </row>
    <row r="127" spans="1:3" x14ac:dyDescent="0.35">
      <c r="A127" s="33">
        <v>44229.318888888891</v>
      </c>
      <c r="B127" s="32">
        <v>355439</v>
      </c>
      <c r="C127" s="14">
        <v>44226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393-972C-4CA6-BE85-8F4F38CBFCC0}">
  <sheetPr codeName="Sheet3"/>
  <dimension ref="X177"/>
  <sheetViews>
    <sheetView topLeftCell="A157" workbookViewId="0">
      <selection activeCell="X179" sqref="X179"/>
    </sheetView>
  </sheetViews>
  <sheetFormatPr defaultRowHeight="14.5" x14ac:dyDescent="0.35"/>
  <cols>
    <col min="1" max="1" width="8.26953125" customWidth="1"/>
  </cols>
  <sheetData>
    <row r="177" spans="24:24" x14ac:dyDescent="0.35">
      <c r="X17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7129C-CA6A-4FB3-91EA-CD4B68B060A5}">
  <sheetPr codeName="Sheet11"/>
  <dimension ref="A1:CF71"/>
  <sheetViews>
    <sheetView topLeftCell="A43" workbookViewId="0">
      <selection activeCell="E76" sqref="E76"/>
    </sheetView>
  </sheetViews>
  <sheetFormatPr defaultRowHeight="14.5" x14ac:dyDescent="0.35"/>
  <cols>
    <col min="1" max="1" width="20.54296875" customWidth="1"/>
    <col min="2" max="2" width="13.453125" customWidth="1"/>
    <col min="3" max="3" width="14.81640625" customWidth="1"/>
    <col min="5" max="5" width="14.54296875" customWidth="1"/>
    <col min="6" max="6" width="18.54296875" customWidth="1"/>
    <col min="7" max="7" width="11.1796875" customWidth="1"/>
    <col min="8" max="8" width="10.81640625" customWidth="1"/>
    <col min="10" max="10" width="20.7265625" customWidth="1"/>
    <col min="11" max="11" width="12.26953125" customWidth="1"/>
    <col min="14" max="14" width="12.7265625" customWidth="1"/>
    <col min="27" max="27" width="11.1796875" customWidth="1"/>
    <col min="84" max="84" width="13.54296875" customWidth="1"/>
  </cols>
  <sheetData>
    <row r="1" spans="1:84" x14ac:dyDescent="0.35">
      <c r="A1" s="60" t="s">
        <v>52</v>
      </c>
      <c r="B1" s="59" t="s">
        <v>53</v>
      </c>
      <c r="C1" s="59" t="s">
        <v>54</v>
      </c>
      <c r="D1" s="59" t="s">
        <v>0</v>
      </c>
      <c r="E1" s="59" t="s">
        <v>1</v>
      </c>
      <c r="F1" s="59" t="s">
        <v>2</v>
      </c>
      <c r="G1" s="59" t="s">
        <v>3</v>
      </c>
      <c r="H1" s="59" t="s">
        <v>4</v>
      </c>
      <c r="I1" s="59" t="s">
        <v>5</v>
      </c>
      <c r="J1" s="59" t="s">
        <v>55</v>
      </c>
      <c r="K1" s="59" t="s">
        <v>56</v>
      </c>
      <c r="L1" s="59" t="s">
        <v>57</v>
      </c>
      <c r="M1" s="59" t="s">
        <v>6</v>
      </c>
      <c r="N1" s="59" t="s">
        <v>7</v>
      </c>
      <c r="O1" s="59" t="s">
        <v>8</v>
      </c>
      <c r="P1" s="59" t="s">
        <v>9</v>
      </c>
      <c r="Q1" s="59" t="s">
        <v>10</v>
      </c>
      <c r="R1" s="59" t="s">
        <v>11</v>
      </c>
      <c r="S1" s="59" t="s">
        <v>12</v>
      </c>
      <c r="T1" s="59" t="s">
        <v>13</v>
      </c>
      <c r="U1" s="59" t="s">
        <v>58</v>
      </c>
      <c r="V1" s="59" t="s">
        <v>14</v>
      </c>
      <c r="W1" s="59" t="s">
        <v>15</v>
      </c>
      <c r="X1" s="59" t="s">
        <v>16</v>
      </c>
      <c r="Y1" s="59" t="s">
        <v>17</v>
      </c>
      <c r="Z1" s="59" t="s">
        <v>18</v>
      </c>
      <c r="AA1" s="59" t="s">
        <v>19</v>
      </c>
      <c r="AB1" s="59" t="s">
        <v>20</v>
      </c>
      <c r="AC1" s="59" t="s">
        <v>21</v>
      </c>
      <c r="AD1" s="59" t="s">
        <v>22</v>
      </c>
      <c r="AE1" s="59" t="s">
        <v>23</v>
      </c>
      <c r="AF1" s="59" t="s">
        <v>24</v>
      </c>
      <c r="AG1" s="59" t="s">
        <v>59</v>
      </c>
      <c r="AH1" s="59" t="s">
        <v>25</v>
      </c>
      <c r="AI1" s="59" t="s">
        <v>26</v>
      </c>
      <c r="AJ1" s="59" t="s">
        <v>27</v>
      </c>
      <c r="AK1" s="59" t="s">
        <v>28</v>
      </c>
      <c r="AL1" s="59" t="s">
        <v>29</v>
      </c>
      <c r="AM1" s="59" t="s">
        <v>30</v>
      </c>
      <c r="AN1" s="59" t="s">
        <v>60</v>
      </c>
      <c r="AO1" s="59" t="s">
        <v>61</v>
      </c>
      <c r="AP1" s="59" t="s">
        <v>31</v>
      </c>
      <c r="AQ1" s="59" t="s">
        <v>32</v>
      </c>
      <c r="AR1" s="59" t="s">
        <v>33</v>
      </c>
      <c r="AS1" s="59" t="s">
        <v>34</v>
      </c>
      <c r="AT1" s="59" t="s">
        <v>35</v>
      </c>
      <c r="AU1" s="59" t="s">
        <v>36</v>
      </c>
      <c r="AV1" s="59" t="s">
        <v>37</v>
      </c>
      <c r="AW1" s="59" t="s">
        <v>38</v>
      </c>
      <c r="AX1" s="59" t="s">
        <v>39</v>
      </c>
      <c r="AY1" s="59" t="s">
        <v>63</v>
      </c>
      <c r="AZ1" s="59" t="s">
        <v>62</v>
      </c>
      <c r="BA1" s="59" t="s">
        <v>64</v>
      </c>
      <c r="BB1" s="59" t="s">
        <v>65</v>
      </c>
      <c r="BC1" s="59" t="s">
        <v>42</v>
      </c>
      <c r="BD1" s="59" t="s">
        <v>43</v>
      </c>
      <c r="BE1" s="59" t="s">
        <v>44</v>
      </c>
      <c r="BF1" s="59" t="s">
        <v>45</v>
      </c>
      <c r="BG1" s="59" t="s">
        <v>46</v>
      </c>
      <c r="BH1" s="59" t="s">
        <v>47</v>
      </c>
      <c r="BI1" s="59" t="s">
        <v>48</v>
      </c>
      <c r="BJ1" s="59" t="s">
        <v>49</v>
      </c>
      <c r="BK1" s="59" t="s">
        <v>50</v>
      </c>
      <c r="BL1" s="59" t="s">
        <v>51</v>
      </c>
      <c r="BM1" s="59" t="s">
        <v>40</v>
      </c>
      <c r="BN1" s="59" t="s">
        <v>41</v>
      </c>
      <c r="BO1" s="59" t="s">
        <v>66</v>
      </c>
      <c r="BP1" s="59" t="s">
        <v>67</v>
      </c>
      <c r="BQ1" s="59" t="s">
        <v>68</v>
      </c>
      <c r="BR1" s="59" t="s">
        <v>69</v>
      </c>
      <c r="BS1" s="58" t="s">
        <v>70</v>
      </c>
      <c r="BT1" s="58" t="s">
        <v>72</v>
      </c>
      <c r="BU1" s="58" t="s">
        <v>71</v>
      </c>
      <c r="BV1" s="58" t="s">
        <v>73</v>
      </c>
      <c r="BW1" s="58" t="s">
        <v>77</v>
      </c>
      <c r="BX1" s="59" t="s">
        <v>78</v>
      </c>
      <c r="BY1" s="59" t="s">
        <v>79</v>
      </c>
      <c r="BZ1" s="59" t="s">
        <v>80</v>
      </c>
      <c r="CA1" s="58" t="s">
        <v>85</v>
      </c>
      <c r="CB1" s="58" t="s">
        <v>84</v>
      </c>
      <c r="CC1" s="58" t="s">
        <v>87</v>
      </c>
      <c r="CD1" s="57" t="s">
        <v>86</v>
      </c>
      <c r="CE1" s="56" t="s">
        <v>110</v>
      </c>
      <c r="CF1" s="55" t="s">
        <v>109</v>
      </c>
    </row>
    <row r="2" spans="1:84" x14ac:dyDescent="0.35">
      <c r="A2" s="54" t="s">
        <v>117</v>
      </c>
      <c r="B2" s="46">
        <v>44201</v>
      </c>
      <c r="C2" s="46">
        <v>44201</v>
      </c>
      <c r="D2" s="52">
        <v>71</v>
      </c>
      <c r="E2" s="53">
        <v>221.22</v>
      </c>
      <c r="F2" s="53">
        <v>1179.01</v>
      </c>
      <c r="G2" s="53">
        <v>425.22</v>
      </c>
      <c r="H2" s="53">
        <v>500.62</v>
      </c>
      <c r="I2" s="53">
        <v>136.84</v>
      </c>
      <c r="J2" s="53">
        <v>2401.1</v>
      </c>
      <c r="K2" s="53">
        <v>38.869999999999997</v>
      </c>
      <c r="L2" s="52">
        <v>439</v>
      </c>
      <c r="M2" s="53">
        <v>41.06</v>
      </c>
      <c r="N2" s="53">
        <v>2520.44</v>
      </c>
      <c r="O2" s="52">
        <v>0</v>
      </c>
      <c r="P2" s="53">
        <v>0</v>
      </c>
      <c r="Q2" s="52">
        <v>11</v>
      </c>
      <c r="R2" s="53">
        <v>5.99</v>
      </c>
      <c r="S2" s="52">
        <v>32</v>
      </c>
      <c r="T2" s="53">
        <v>58.03</v>
      </c>
      <c r="U2" s="53">
        <v>57.51</v>
      </c>
      <c r="V2" s="52">
        <v>1</v>
      </c>
      <c r="W2" s="53">
        <v>10</v>
      </c>
      <c r="X2" s="52">
        <v>11</v>
      </c>
      <c r="Y2" s="53">
        <v>0</v>
      </c>
      <c r="Z2" s="52">
        <v>77</v>
      </c>
      <c r="AA2" s="53">
        <v>319.64999999999998</v>
      </c>
      <c r="AB2" s="52">
        <v>11</v>
      </c>
      <c r="AC2" s="53">
        <v>25.2</v>
      </c>
      <c r="AD2" s="52">
        <v>0</v>
      </c>
      <c r="AE2" s="53">
        <v>0</v>
      </c>
      <c r="AF2" s="53">
        <v>0</v>
      </c>
      <c r="AG2" s="53">
        <v>0</v>
      </c>
      <c r="AH2" s="53">
        <v>0</v>
      </c>
      <c r="AI2" s="53">
        <v>0</v>
      </c>
      <c r="AJ2" s="53">
        <v>0</v>
      </c>
      <c r="AK2" s="52"/>
      <c r="AL2" s="53">
        <v>2439.9699999999998</v>
      </c>
      <c r="AM2" s="53">
        <v>0</v>
      </c>
      <c r="AN2" s="53">
        <v>0</v>
      </c>
      <c r="AO2" s="53">
        <v>0</v>
      </c>
      <c r="AP2" s="53">
        <v>0</v>
      </c>
      <c r="AQ2" s="52">
        <v>47</v>
      </c>
      <c r="AR2" s="53">
        <v>369.77</v>
      </c>
      <c r="AS2" s="52">
        <v>164</v>
      </c>
      <c r="AT2" s="53">
        <v>1059.8399999999999</v>
      </c>
      <c r="AU2" s="52">
        <v>8</v>
      </c>
      <c r="AV2" s="53">
        <v>55.22</v>
      </c>
      <c r="AW2" s="52">
        <v>9</v>
      </c>
      <c r="AX2" s="53">
        <v>74.77</v>
      </c>
      <c r="AY2" s="52">
        <v>49</v>
      </c>
      <c r="AZ2" s="53">
        <v>161.21</v>
      </c>
      <c r="BA2" s="52"/>
      <c r="BB2" s="52"/>
      <c r="BC2" s="52"/>
      <c r="BD2" s="52"/>
      <c r="BE2" s="52"/>
      <c r="BF2" s="52"/>
      <c r="BG2" s="52"/>
      <c r="BH2" s="52"/>
      <c r="BI2" s="52"/>
      <c r="BJ2" s="52"/>
      <c r="BK2" s="52"/>
      <c r="BL2" s="52"/>
      <c r="BM2" s="52"/>
      <c r="BN2" s="52"/>
      <c r="BO2" s="52"/>
      <c r="BP2" s="52"/>
      <c r="BQ2" s="52"/>
      <c r="BR2" s="53">
        <v>54.16</v>
      </c>
      <c r="BS2" s="52"/>
      <c r="BT2" s="52"/>
      <c r="BU2" s="52"/>
      <c r="BV2" s="52"/>
      <c r="BW2" s="52"/>
      <c r="BX2" s="52"/>
      <c r="BY2" s="52"/>
      <c r="BZ2" s="52"/>
      <c r="CA2" s="52"/>
      <c r="CB2" s="52"/>
      <c r="CC2" s="52"/>
      <c r="CD2" s="52"/>
      <c r="CE2" s="52"/>
      <c r="CF2" s="51"/>
    </row>
    <row r="3" spans="1:84" x14ac:dyDescent="0.35">
      <c r="A3" s="47" t="s">
        <v>115</v>
      </c>
      <c r="B3" s="50">
        <v>44201</v>
      </c>
      <c r="C3" s="50">
        <v>44201</v>
      </c>
      <c r="D3" s="49">
        <v>14</v>
      </c>
      <c r="E3" s="49">
        <v>53.56</v>
      </c>
      <c r="F3" s="49">
        <v>198.34</v>
      </c>
      <c r="G3" s="49">
        <v>78.03</v>
      </c>
      <c r="H3" s="49">
        <v>65.7</v>
      </c>
      <c r="I3" s="49">
        <v>2.59</v>
      </c>
      <c r="J3" s="49">
        <v>384.25</v>
      </c>
      <c r="K3" s="49">
        <v>107.26</v>
      </c>
      <c r="L3" s="49">
        <v>89</v>
      </c>
      <c r="M3" s="49">
        <v>113.36</v>
      </c>
      <c r="N3" s="49">
        <v>412.85</v>
      </c>
      <c r="O3" s="49">
        <v>1</v>
      </c>
      <c r="P3" s="49">
        <v>2.59</v>
      </c>
      <c r="Q3" s="49"/>
      <c r="R3" s="49">
        <v>34.700000000000003</v>
      </c>
      <c r="S3" s="49"/>
      <c r="T3" s="49"/>
      <c r="U3" s="49"/>
      <c r="V3" s="49">
        <v>0</v>
      </c>
      <c r="W3" s="49">
        <v>0</v>
      </c>
      <c r="X3" s="49">
        <v>0</v>
      </c>
      <c r="Y3" s="49">
        <v>0</v>
      </c>
      <c r="Z3" s="49">
        <v>18</v>
      </c>
      <c r="AA3" s="49">
        <v>96.14</v>
      </c>
      <c r="AB3" s="49">
        <v>28</v>
      </c>
      <c r="AC3" s="49">
        <v>92.82</v>
      </c>
      <c r="AD3" s="49">
        <v>13</v>
      </c>
      <c r="AE3" s="49">
        <v>20.05</v>
      </c>
      <c r="AF3" s="49"/>
      <c r="AG3" s="49"/>
      <c r="AH3" s="49">
        <v>0</v>
      </c>
      <c r="AI3" s="49"/>
      <c r="AJ3" s="49">
        <v>39.4</v>
      </c>
      <c r="AK3" s="49"/>
      <c r="AL3" s="49"/>
      <c r="AM3" s="49"/>
      <c r="AN3" s="49">
        <v>64</v>
      </c>
      <c r="AO3" s="49">
        <v>0</v>
      </c>
      <c r="AP3" s="49">
        <v>-88.31</v>
      </c>
      <c r="AQ3" s="49">
        <v>14</v>
      </c>
      <c r="AR3" s="49">
        <v>76.45</v>
      </c>
      <c r="AS3" s="49">
        <v>24</v>
      </c>
      <c r="AT3" s="49">
        <v>168.56</v>
      </c>
      <c r="AU3" s="49">
        <v>1</v>
      </c>
      <c r="AV3" s="49">
        <v>6.12</v>
      </c>
      <c r="AW3" s="49">
        <v>2</v>
      </c>
      <c r="AX3" s="49">
        <v>16.91</v>
      </c>
      <c r="AY3" s="49">
        <v>22</v>
      </c>
      <c r="AZ3" s="49">
        <v>59.31</v>
      </c>
      <c r="BA3" s="49"/>
      <c r="BB3" s="49"/>
      <c r="BC3" s="49"/>
      <c r="BD3" s="49"/>
      <c r="BE3" s="49"/>
      <c r="BF3" s="49"/>
      <c r="BG3" s="49"/>
      <c r="BH3" s="49"/>
      <c r="BI3" s="49"/>
      <c r="BJ3" s="49"/>
      <c r="BK3" s="49"/>
      <c r="BL3" s="49"/>
      <c r="BM3" s="49"/>
      <c r="BN3" s="49"/>
      <c r="BO3" s="49"/>
      <c r="BP3" s="49"/>
      <c r="BQ3" s="49"/>
      <c r="BR3" s="49"/>
      <c r="BS3" s="49">
        <v>492.51</v>
      </c>
      <c r="BT3" s="49"/>
      <c r="BU3" s="49"/>
      <c r="BV3" s="49">
        <v>0</v>
      </c>
      <c r="BW3" s="49">
        <v>0</v>
      </c>
      <c r="BX3" s="49"/>
      <c r="BY3" s="49"/>
      <c r="BZ3" s="49">
        <v>0</v>
      </c>
      <c r="CA3" s="49">
        <v>1</v>
      </c>
      <c r="CB3" s="49">
        <v>51.25</v>
      </c>
      <c r="CC3" s="49"/>
      <c r="CD3" s="49"/>
      <c r="CE3" s="49"/>
      <c r="CF3" s="48"/>
    </row>
    <row r="4" spans="1:84" x14ac:dyDescent="0.35">
      <c r="A4" s="54" t="s">
        <v>116</v>
      </c>
      <c r="B4" s="46">
        <v>44202</v>
      </c>
      <c r="C4" s="46">
        <v>44202</v>
      </c>
      <c r="D4" s="52">
        <v>20</v>
      </c>
      <c r="E4" s="53">
        <v>74.66</v>
      </c>
      <c r="F4" s="53">
        <v>200.61</v>
      </c>
      <c r="G4" s="53">
        <v>95.24</v>
      </c>
      <c r="H4" s="53">
        <v>84.06</v>
      </c>
      <c r="I4" s="53">
        <v>16.46</v>
      </c>
      <c r="J4" s="53">
        <v>407.73</v>
      </c>
      <c r="K4" s="53">
        <v>46.34</v>
      </c>
      <c r="L4" s="52">
        <v>86</v>
      </c>
      <c r="M4" s="53">
        <v>46.48</v>
      </c>
      <c r="N4" s="53">
        <v>421.25</v>
      </c>
      <c r="O4" s="52">
        <v>0</v>
      </c>
      <c r="P4" s="53">
        <v>0</v>
      </c>
      <c r="Q4" s="52">
        <v>3</v>
      </c>
      <c r="R4" s="53">
        <v>0.52</v>
      </c>
      <c r="S4" s="52">
        <v>5</v>
      </c>
      <c r="T4" s="53">
        <v>9.58</v>
      </c>
      <c r="U4" s="53">
        <v>3.56</v>
      </c>
      <c r="V4" s="52">
        <v>2</v>
      </c>
      <c r="W4" s="53">
        <v>35</v>
      </c>
      <c r="X4" s="52">
        <v>1</v>
      </c>
      <c r="Y4" s="53">
        <v>0</v>
      </c>
      <c r="Z4" s="52">
        <v>8</v>
      </c>
      <c r="AA4" s="53">
        <v>13.07</v>
      </c>
      <c r="AB4" s="52">
        <v>4</v>
      </c>
      <c r="AC4" s="53">
        <v>16.170000000000002</v>
      </c>
      <c r="AD4" s="52">
        <v>5</v>
      </c>
      <c r="AE4" s="53">
        <v>29.1</v>
      </c>
      <c r="AF4" s="53">
        <v>0</v>
      </c>
      <c r="AG4" s="53">
        <v>0</v>
      </c>
      <c r="AH4" s="53">
        <v>0</v>
      </c>
      <c r="AI4" s="53">
        <v>0</v>
      </c>
      <c r="AJ4" s="53">
        <v>0</v>
      </c>
      <c r="AK4" s="52"/>
      <c r="AL4" s="53">
        <v>454.07</v>
      </c>
      <c r="AM4" s="53">
        <v>0</v>
      </c>
      <c r="AN4" s="53">
        <v>0</v>
      </c>
      <c r="AO4" s="53">
        <v>0</v>
      </c>
      <c r="AP4" s="53">
        <v>0</v>
      </c>
      <c r="AQ4" s="52">
        <v>10</v>
      </c>
      <c r="AR4" s="53">
        <v>50.43</v>
      </c>
      <c r="AS4" s="52">
        <v>27</v>
      </c>
      <c r="AT4" s="53">
        <v>151.88999999999999</v>
      </c>
      <c r="AU4" s="52">
        <v>1</v>
      </c>
      <c r="AV4" s="53">
        <v>2.69</v>
      </c>
      <c r="AW4" s="52">
        <v>3</v>
      </c>
      <c r="AX4" s="53">
        <v>14.85</v>
      </c>
      <c r="AY4" s="52">
        <v>13</v>
      </c>
      <c r="AZ4" s="53">
        <v>38.26</v>
      </c>
      <c r="BA4" s="52"/>
      <c r="BB4" s="52"/>
      <c r="BC4" s="52"/>
      <c r="BD4" s="52"/>
      <c r="BE4" s="52"/>
      <c r="BF4" s="52"/>
      <c r="BG4" s="52"/>
      <c r="BH4" s="52"/>
      <c r="BI4" s="52"/>
      <c r="BJ4" s="52"/>
      <c r="BK4" s="52"/>
      <c r="BL4" s="52"/>
      <c r="BM4" s="52"/>
      <c r="BN4" s="52"/>
      <c r="BO4" s="52"/>
      <c r="BP4" s="52"/>
      <c r="BQ4" s="52"/>
      <c r="BR4" s="53">
        <v>35.51</v>
      </c>
      <c r="BS4" s="52"/>
      <c r="BT4" s="52"/>
      <c r="BU4" s="52"/>
      <c r="BV4" s="52"/>
      <c r="BW4" s="52"/>
      <c r="BX4" s="52"/>
      <c r="BY4" s="52"/>
      <c r="BZ4" s="52"/>
      <c r="CA4" s="52"/>
      <c r="CB4" s="52"/>
      <c r="CC4" s="52"/>
      <c r="CD4" s="52"/>
      <c r="CE4" s="52"/>
      <c r="CF4" s="51"/>
    </row>
    <row r="5" spans="1:84" x14ac:dyDescent="0.35">
      <c r="A5" s="47" t="s">
        <v>115</v>
      </c>
      <c r="B5" s="50">
        <v>44202</v>
      </c>
      <c r="C5" s="50">
        <v>44202</v>
      </c>
      <c r="D5" s="49">
        <v>108</v>
      </c>
      <c r="E5" s="49">
        <v>380.72</v>
      </c>
      <c r="F5" s="49">
        <v>1687.08</v>
      </c>
      <c r="G5" s="49">
        <v>489.02</v>
      </c>
      <c r="H5" s="49">
        <v>767.38</v>
      </c>
      <c r="I5" s="49">
        <v>194.01</v>
      </c>
      <c r="J5" s="49">
        <v>3195.1700000000005</v>
      </c>
      <c r="K5" s="49">
        <v>166.15</v>
      </c>
      <c r="L5" s="49">
        <v>644</v>
      </c>
      <c r="M5" s="49">
        <v>170.34</v>
      </c>
      <c r="N5" s="49">
        <v>3343.6400000000003</v>
      </c>
      <c r="O5" s="49">
        <v>3</v>
      </c>
      <c r="P5" s="49">
        <v>47.97</v>
      </c>
      <c r="Q5" s="49"/>
      <c r="R5" s="49">
        <v>152.66</v>
      </c>
      <c r="S5" s="49"/>
      <c r="T5" s="49"/>
      <c r="U5" s="49"/>
      <c r="V5" s="49">
        <v>0</v>
      </c>
      <c r="W5" s="49">
        <v>0</v>
      </c>
      <c r="X5" s="49">
        <v>0</v>
      </c>
      <c r="Y5" s="49">
        <v>0</v>
      </c>
      <c r="Z5" s="49">
        <v>129</v>
      </c>
      <c r="AA5" s="49">
        <v>188.45</v>
      </c>
      <c r="AB5" s="49">
        <v>21</v>
      </c>
      <c r="AC5" s="49">
        <v>150.6</v>
      </c>
      <c r="AD5" s="49">
        <v>100</v>
      </c>
      <c r="AE5" s="49">
        <v>109.28</v>
      </c>
      <c r="AF5" s="49"/>
      <c r="AG5" s="49"/>
      <c r="AH5" s="49">
        <v>0</v>
      </c>
      <c r="AI5" s="49"/>
      <c r="AJ5" s="49">
        <v>269.23</v>
      </c>
      <c r="AK5" s="49"/>
      <c r="AL5" s="49"/>
      <c r="AM5" s="49"/>
      <c r="AN5" s="49">
        <v>1041</v>
      </c>
      <c r="AO5" s="49">
        <v>0</v>
      </c>
      <c r="AP5" s="49">
        <v>48.960000000000036</v>
      </c>
      <c r="AQ5" s="49">
        <v>75</v>
      </c>
      <c r="AR5" s="49">
        <v>484.3</v>
      </c>
      <c r="AS5" s="49">
        <v>258</v>
      </c>
      <c r="AT5" s="49">
        <v>1513.08</v>
      </c>
      <c r="AU5" s="49">
        <v>14</v>
      </c>
      <c r="AV5" s="49">
        <v>76.319999999999993</v>
      </c>
      <c r="AW5" s="49">
        <v>6</v>
      </c>
      <c r="AX5" s="49">
        <v>31.4</v>
      </c>
      <c r="AY5" s="49">
        <v>90</v>
      </c>
      <c r="AZ5" s="49">
        <v>391.94</v>
      </c>
      <c r="BA5" s="49"/>
      <c r="BB5" s="49"/>
      <c r="BC5" s="49"/>
      <c r="BD5" s="49"/>
      <c r="BE5" s="49"/>
      <c r="BF5" s="49"/>
      <c r="BG5" s="49"/>
      <c r="BH5" s="49"/>
      <c r="BI5" s="49"/>
      <c r="BJ5" s="49"/>
      <c r="BK5" s="49"/>
      <c r="BL5" s="49"/>
      <c r="BM5" s="49"/>
      <c r="BN5" s="49"/>
      <c r="BO5" s="49"/>
      <c r="BP5" s="49">
        <v>9</v>
      </c>
      <c r="BQ5" s="49">
        <v>100.52</v>
      </c>
      <c r="BR5" s="49">
        <v>83.2</v>
      </c>
      <c r="BS5" s="49">
        <v>3361.32</v>
      </c>
      <c r="BT5" s="49"/>
      <c r="BU5" s="49"/>
      <c r="BV5" s="49">
        <v>9.8000000000001819</v>
      </c>
      <c r="BW5" s="49">
        <v>9.8000000000000007</v>
      </c>
      <c r="BX5" s="49"/>
      <c r="BY5" s="49"/>
      <c r="BZ5" s="49">
        <v>0</v>
      </c>
      <c r="CA5" s="49">
        <v>3</v>
      </c>
      <c r="CB5" s="49">
        <v>32.49</v>
      </c>
      <c r="CC5" s="49"/>
      <c r="CD5" s="49"/>
      <c r="CE5" s="49">
        <v>1</v>
      </c>
      <c r="CF5" s="48">
        <v>6.46</v>
      </c>
    </row>
    <row r="6" spans="1:84" x14ac:dyDescent="0.35">
      <c r="A6" s="47" t="s">
        <v>114</v>
      </c>
      <c r="B6" s="45">
        <v>44201</v>
      </c>
      <c r="C6" s="45">
        <v>44201</v>
      </c>
      <c r="D6">
        <f t="shared" ref="D6:AI6" si="0">D2+D3</f>
        <v>85</v>
      </c>
      <c r="E6">
        <f t="shared" si="0"/>
        <v>274.77999999999997</v>
      </c>
      <c r="F6">
        <f t="shared" si="0"/>
        <v>1377.35</v>
      </c>
      <c r="G6">
        <f t="shared" si="0"/>
        <v>503.25</v>
      </c>
      <c r="H6">
        <f t="shared" si="0"/>
        <v>566.32000000000005</v>
      </c>
      <c r="I6">
        <f t="shared" si="0"/>
        <v>139.43</v>
      </c>
      <c r="J6">
        <f t="shared" si="0"/>
        <v>2785.35</v>
      </c>
      <c r="K6">
        <f t="shared" si="0"/>
        <v>146.13</v>
      </c>
      <c r="L6">
        <f t="shared" si="0"/>
        <v>528</v>
      </c>
      <c r="M6">
        <f t="shared" si="0"/>
        <v>154.42000000000002</v>
      </c>
      <c r="N6">
        <f t="shared" si="0"/>
        <v>2933.29</v>
      </c>
      <c r="O6">
        <f t="shared" si="0"/>
        <v>1</v>
      </c>
      <c r="P6">
        <f t="shared" si="0"/>
        <v>2.59</v>
      </c>
      <c r="Q6">
        <f t="shared" si="0"/>
        <v>11</v>
      </c>
      <c r="R6">
        <f t="shared" si="0"/>
        <v>40.690000000000005</v>
      </c>
      <c r="S6">
        <f t="shared" si="0"/>
        <v>32</v>
      </c>
      <c r="T6">
        <f t="shared" si="0"/>
        <v>58.03</v>
      </c>
      <c r="U6">
        <f t="shared" si="0"/>
        <v>57.51</v>
      </c>
      <c r="V6">
        <f t="shared" si="0"/>
        <v>1</v>
      </c>
      <c r="W6">
        <f t="shared" si="0"/>
        <v>10</v>
      </c>
      <c r="X6">
        <f t="shared" si="0"/>
        <v>11</v>
      </c>
      <c r="Y6">
        <f t="shared" si="0"/>
        <v>0</v>
      </c>
      <c r="Z6">
        <f t="shared" si="0"/>
        <v>95</v>
      </c>
      <c r="AA6">
        <f t="shared" si="0"/>
        <v>415.78999999999996</v>
      </c>
      <c r="AB6">
        <f t="shared" si="0"/>
        <v>39</v>
      </c>
      <c r="AC6">
        <f t="shared" si="0"/>
        <v>118.02</v>
      </c>
      <c r="AD6">
        <f t="shared" si="0"/>
        <v>13</v>
      </c>
      <c r="AE6">
        <f t="shared" si="0"/>
        <v>20.05</v>
      </c>
      <c r="AF6">
        <f t="shared" si="0"/>
        <v>0</v>
      </c>
      <c r="AG6">
        <f t="shared" si="0"/>
        <v>0</v>
      </c>
      <c r="AH6">
        <f t="shared" si="0"/>
        <v>0</v>
      </c>
      <c r="AI6">
        <f t="shared" si="0"/>
        <v>0</v>
      </c>
      <c r="AJ6">
        <f t="shared" ref="AJ6:BO6" si="1">AJ2+AJ3</f>
        <v>39.4</v>
      </c>
      <c r="AK6">
        <f t="shared" si="1"/>
        <v>0</v>
      </c>
      <c r="AL6">
        <f t="shared" si="1"/>
        <v>2439.9699999999998</v>
      </c>
      <c r="AM6">
        <f t="shared" si="1"/>
        <v>0</v>
      </c>
      <c r="AN6">
        <f t="shared" si="1"/>
        <v>64</v>
      </c>
      <c r="AO6">
        <f t="shared" si="1"/>
        <v>0</v>
      </c>
      <c r="AP6">
        <f t="shared" si="1"/>
        <v>-88.31</v>
      </c>
      <c r="AQ6">
        <f t="shared" si="1"/>
        <v>61</v>
      </c>
      <c r="AR6">
        <f t="shared" si="1"/>
        <v>446.21999999999997</v>
      </c>
      <c r="AS6">
        <f t="shared" si="1"/>
        <v>188</v>
      </c>
      <c r="AT6">
        <f t="shared" si="1"/>
        <v>1228.3999999999999</v>
      </c>
      <c r="AU6">
        <f t="shared" si="1"/>
        <v>9</v>
      </c>
      <c r="AV6">
        <f t="shared" si="1"/>
        <v>61.339999999999996</v>
      </c>
      <c r="AW6">
        <f t="shared" si="1"/>
        <v>11</v>
      </c>
      <c r="AX6">
        <f t="shared" si="1"/>
        <v>91.679999999999993</v>
      </c>
      <c r="AY6">
        <f t="shared" si="1"/>
        <v>71</v>
      </c>
      <c r="AZ6">
        <f t="shared" si="1"/>
        <v>220.52</v>
      </c>
      <c r="BA6">
        <f t="shared" si="1"/>
        <v>0</v>
      </c>
      <c r="BB6">
        <f t="shared" si="1"/>
        <v>0</v>
      </c>
      <c r="BC6">
        <f t="shared" si="1"/>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f t="shared" si="1"/>
        <v>0</v>
      </c>
      <c r="BP6">
        <f t="shared" ref="BP6:CF6" si="2">BP2+BP3</f>
        <v>0</v>
      </c>
      <c r="BQ6">
        <f t="shared" si="2"/>
        <v>0</v>
      </c>
      <c r="BR6">
        <f t="shared" si="2"/>
        <v>54.16</v>
      </c>
      <c r="BS6">
        <f t="shared" si="2"/>
        <v>492.51</v>
      </c>
      <c r="BT6">
        <f t="shared" si="2"/>
        <v>0</v>
      </c>
      <c r="BU6">
        <f t="shared" si="2"/>
        <v>0</v>
      </c>
      <c r="BV6">
        <f t="shared" si="2"/>
        <v>0</v>
      </c>
      <c r="BW6">
        <f t="shared" si="2"/>
        <v>0</v>
      </c>
      <c r="BX6">
        <f t="shared" si="2"/>
        <v>0</v>
      </c>
      <c r="BY6">
        <f t="shared" si="2"/>
        <v>0</v>
      </c>
      <c r="BZ6">
        <f t="shared" si="2"/>
        <v>0</v>
      </c>
      <c r="CA6">
        <f t="shared" si="2"/>
        <v>1</v>
      </c>
      <c r="CB6">
        <f t="shared" si="2"/>
        <v>51.25</v>
      </c>
      <c r="CC6">
        <f t="shared" si="2"/>
        <v>0</v>
      </c>
      <c r="CD6">
        <f t="shared" si="2"/>
        <v>0</v>
      </c>
      <c r="CE6">
        <f t="shared" si="2"/>
        <v>0</v>
      </c>
      <c r="CF6">
        <f t="shared" si="2"/>
        <v>0</v>
      </c>
    </row>
    <row r="7" spans="1:84" x14ac:dyDescent="0.35">
      <c r="A7" s="47" t="s">
        <v>114</v>
      </c>
      <c r="B7" s="46">
        <v>44202</v>
      </c>
      <c r="C7" s="46">
        <v>44202</v>
      </c>
      <c r="D7">
        <f t="shared" ref="D7:AI7" si="3">D4+D5</f>
        <v>128</v>
      </c>
      <c r="E7">
        <f t="shared" si="3"/>
        <v>455.38</v>
      </c>
      <c r="F7">
        <f t="shared" si="3"/>
        <v>1887.69</v>
      </c>
      <c r="G7">
        <f t="shared" si="3"/>
        <v>584.26</v>
      </c>
      <c r="H7">
        <f t="shared" si="3"/>
        <v>851.44</v>
      </c>
      <c r="I7">
        <f t="shared" si="3"/>
        <v>210.47</v>
      </c>
      <c r="J7">
        <f t="shared" si="3"/>
        <v>3602.9000000000005</v>
      </c>
      <c r="K7">
        <f t="shared" si="3"/>
        <v>212.49</v>
      </c>
      <c r="L7">
        <f t="shared" si="3"/>
        <v>730</v>
      </c>
      <c r="M7">
        <f t="shared" si="3"/>
        <v>216.82</v>
      </c>
      <c r="N7">
        <f t="shared" si="3"/>
        <v>3764.8900000000003</v>
      </c>
      <c r="O7">
        <f t="shared" si="3"/>
        <v>3</v>
      </c>
      <c r="P7">
        <f t="shared" si="3"/>
        <v>47.97</v>
      </c>
      <c r="Q7">
        <f t="shared" si="3"/>
        <v>3</v>
      </c>
      <c r="R7">
        <f t="shared" si="3"/>
        <v>153.18</v>
      </c>
      <c r="S7">
        <f t="shared" si="3"/>
        <v>5</v>
      </c>
      <c r="T7">
        <f t="shared" si="3"/>
        <v>9.58</v>
      </c>
      <c r="U7">
        <f t="shared" si="3"/>
        <v>3.56</v>
      </c>
      <c r="V7">
        <f t="shared" si="3"/>
        <v>2</v>
      </c>
      <c r="W7">
        <f t="shared" si="3"/>
        <v>35</v>
      </c>
      <c r="X7">
        <f t="shared" si="3"/>
        <v>1</v>
      </c>
      <c r="Y7">
        <f t="shared" si="3"/>
        <v>0</v>
      </c>
      <c r="Z7">
        <f t="shared" si="3"/>
        <v>137</v>
      </c>
      <c r="AA7">
        <f t="shared" si="3"/>
        <v>201.51999999999998</v>
      </c>
      <c r="AB7">
        <f t="shared" si="3"/>
        <v>25</v>
      </c>
      <c r="AC7">
        <f t="shared" si="3"/>
        <v>166.76999999999998</v>
      </c>
      <c r="AD7">
        <f t="shared" si="3"/>
        <v>105</v>
      </c>
      <c r="AE7">
        <f t="shared" si="3"/>
        <v>138.38</v>
      </c>
      <c r="AF7">
        <f t="shared" si="3"/>
        <v>0</v>
      </c>
      <c r="AG7">
        <f t="shared" si="3"/>
        <v>0</v>
      </c>
      <c r="AH7">
        <f t="shared" si="3"/>
        <v>0</v>
      </c>
      <c r="AI7">
        <f t="shared" si="3"/>
        <v>0</v>
      </c>
      <c r="AJ7">
        <f t="shared" ref="AJ7:BO7" si="4">AJ4+AJ5</f>
        <v>269.23</v>
      </c>
      <c r="AK7">
        <f t="shared" si="4"/>
        <v>0</v>
      </c>
      <c r="AL7">
        <f t="shared" si="4"/>
        <v>454.07</v>
      </c>
      <c r="AM7">
        <f t="shared" si="4"/>
        <v>0</v>
      </c>
      <c r="AN7">
        <f t="shared" si="4"/>
        <v>1041</v>
      </c>
      <c r="AO7">
        <f t="shared" si="4"/>
        <v>0</v>
      </c>
      <c r="AP7">
        <f t="shared" si="4"/>
        <v>48.960000000000036</v>
      </c>
      <c r="AQ7">
        <f t="shared" si="4"/>
        <v>85</v>
      </c>
      <c r="AR7">
        <f t="shared" si="4"/>
        <v>534.73</v>
      </c>
      <c r="AS7">
        <f t="shared" si="4"/>
        <v>285</v>
      </c>
      <c r="AT7">
        <f t="shared" si="4"/>
        <v>1664.9699999999998</v>
      </c>
      <c r="AU7">
        <f t="shared" si="4"/>
        <v>15</v>
      </c>
      <c r="AV7">
        <f t="shared" si="4"/>
        <v>79.009999999999991</v>
      </c>
      <c r="AW7">
        <f t="shared" si="4"/>
        <v>9</v>
      </c>
      <c r="AX7">
        <f t="shared" si="4"/>
        <v>46.25</v>
      </c>
      <c r="AY7">
        <f t="shared" si="4"/>
        <v>103</v>
      </c>
      <c r="AZ7">
        <f t="shared" si="4"/>
        <v>430.2</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ref="BP7:CF7" si="5">BP4+BP5</f>
        <v>9</v>
      </c>
      <c r="BQ7">
        <f t="shared" si="5"/>
        <v>100.52</v>
      </c>
      <c r="BR7">
        <f t="shared" si="5"/>
        <v>118.71000000000001</v>
      </c>
      <c r="BS7">
        <f t="shared" si="5"/>
        <v>3361.32</v>
      </c>
      <c r="BT7">
        <f t="shared" si="5"/>
        <v>0</v>
      </c>
      <c r="BU7">
        <f t="shared" si="5"/>
        <v>0</v>
      </c>
      <c r="BV7">
        <f t="shared" si="5"/>
        <v>9.8000000000001819</v>
      </c>
      <c r="BW7">
        <f t="shared" si="5"/>
        <v>9.8000000000000007</v>
      </c>
      <c r="BX7">
        <f t="shared" si="5"/>
        <v>0</v>
      </c>
      <c r="BY7">
        <f t="shared" si="5"/>
        <v>0</v>
      </c>
      <c r="BZ7">
        <f t="shared" si="5"/>
        <v>0</v>
      </c>
      <c r="CA7">
        <f t="shared" si="5"/>
        <v>3</v>
      </c>
      <c r="CB7">
        <f t="shared" si="5"/>
        <v>32.49</v>
      </c>
      <c r="CC7">
        <f t="shared" si="5"/>
        <v>0</v>
      </c>
      <c r="CD7">
        <f t="shared" si="5"/>
        <v>0</v>
      </c>
      <c r="CE7">
        <f t="shared" si="5"/>
        <v>1</v>
      </c>
      <c r="CF7">
        <f t="shared" si="5"/>
        <v>6.46</v>
      </c>
    </row>
    <row r="11" spans="1:84" x14ac:dyDescent="0.35">
      <c r="A11" s="42">
        <v>352613</v>
      </c>
      <c r="B11" s="61">
        <v>44201</v>
      </c>
      <c r="C11" s="61">
        <v>44201</v>
      </c>
      <c r="D11" s="39">
        <v>85</v>
      </c>
      <c r="E11" s="39">
        <v>274.77999999999997</v>
      </c>
      <c r="F11" s="39">
        <v>1377.35</v>
      </c>
      <c r="G11" s="39">
        <v>503.25</v>
      </c>
      <c r="H11" s="39">
        <v>566.32000000000005</v>
      </c>
      <c r="I11" s="39">
        <v>139.43</v>
      </c>
      <c r="J11" s="39">
        <v>2785.35</v>
      </c>
      <c r="K11" s="39">
        <v>146.13</v>
      </c>
      <c r="L11" s="39">
        <v>528</v>
      </c>
      <c r="M11" s="39">
        <v>154.42000000000002</v>
      </c>
      <c r="N11" s="39">
        <v>2933.29</v>
      </c>
      <c r="O11" s="39">
        <v>1</v>
      </c>
      <c r="P11" s="39">
        <v>2.59</v>
      </c>
      <c r="Q11" s="39">
        <v>11</v>
      </c>
      <c r="R11" s="39">
        <v>40.690000000000005</v>
      </c>
      <c r="S11" s="39">
        <v>32</v>
      </c>
      <c r="T11" s="39">
        <v>58.03</v>
      </c>
      <c r="U11" s="39">
        <v>57.51</v>
      </c>
      <c r="V11" s="39">
        <v>1</v>
      </c>
      <c r="W11" s="39">
        <v>10</v>
      </c>
      <c r="X11" s="39">
        <v>11</v>
      </c>
      <c r="Y11" s="39">
        <v>0</v>
      </c>
      <c r="Z11" s="39">
        <v>95</v>
      </c>
      <c r="AA11" s="39">
        <v>415.78999999999996</v>
      </c>
      <c r="AB11" s="39">
        <v>39</v>
      </c>
      <c r="AC11" s="39">
        <v>118.02</v>
      </c>
      <c r="AD11" s="39">
        <v>13</v>
      </c>
      <c r="AE11" s="39">
        <v>20.05</v>
      </c>
      <c r="AF11" s="39">
        <v>0</v>
      </c>
      <c r="AG11" s="39">
        <v>0</v>
      </c>
      <c r="AH11" s="39">
        <v>0</v>
      </c>
      <c r="AI11" s="39">
        <v>0</v>
      </c>
      <c r="AJ11" s="39">
        <v>39.4</v>
      </c>
      <c r="AK11" s="39">
        <v>0</v>
      </c>
      <c r="AL11" s="39">
        <v>2439.9699999999998</v>
      </c>
      <c r="AM11" s="39">
        <v>0</v>
      </c>
      <c r="AN11" s="39">
        <v>64</v>
      </c>
      <c r="AO11" s="39">
        <v>0</v>
      </c>
      <c r="AP11" s="39">
        <v>-88.31</v>
      </c>
      <c r="AQ11" s="39">
        <v>61</v>
      </c>
      <c r="AR11" s="39">
        <v>446.21999999999997</v>
      </c>
      <c r="AS11" s="39">
        <v>188</v>
      </c>
      <c r="AT11" s="39">
        <v>1228.3999999999999</v>
      </c>
      <c r="AU11" s="39">
        <v>9</v>
      </c>
      <c r="AV11" s="39">
        <v>61.339999999999996</v>
      </c>
      <c r="AW11" s="39">
        <v>11</v>
      </c>
      <c r="AX11" s="39">
        <v>91.679999999999993</v>
      </c>
      <c r="AY11" s="39">
        <v>71</v>
      </c>
      <c r="AZ11" s="39">
        <v>220.52</v>
      </c>
      <c r="BA11" s="39">
        <v>0</v>
      </c>
      <c r="BB11" s="39">
        <v>0</v>
      </c>
      <c r="BC11" s="39">
        <v>0</v>
      </c>
      <c r="BD11" s="39">
        <v>0</v>
      </c>
      <c r="BE11" s="39">
        <v>0</v>
      </c>
      <c r="BF11" s="39">
        <v>0</v>
      </c>
      <c r="BG11" s="39">
        <v>0</v>
      </c>
      <c r="BH11" s="39">
        <v>0</v>
      </c>
      <c r="BI11" s="39">
        <v>0</v>
      </c>
      <c r="BJ11" s="39">
        <v>0</v>
      </c>
      <c r="BK11" s="39">
        <v>0</v>
      </c>
      <c r="BL11" s="39">
        <v>0</v>
      </c>
      <c r="BM11" s="39">
        <v>0</v>
      </c>
      <c r="BN11" s="39">
        <v>0</v>
      </c>
      <c r="BO11" s="39">
        <v>0</v>
      </c>
      <c r="BP11" s="39">
        <v>0</v>
      </c>
      <c r="BQ11" s="39">
        <v>0</v>
      </c>
      <c r="BR11" s="39">
        <v>54.16</v>
      </c>
      <c r="BS11" s="39">
        <v>492.51</v>
      </c>
      <c r="BT11" s="39">
        <v>0</v>
      </c>
      <c r="BU11" s="39">
        <v>0</v>
      </c>
      <c r="BV11" s="39">
        <v>0</v>
      </c>
      <c r="BW11" s="39">
        <v>0</v>
      </c>
      <c r="BX11" s="39">
        <v>0</v>
      </c>
      <c r="BY11" s="39">
        <v>0</v>
      </c>
      <c r="BZ11" s="39">
        <v>0</v>
      </c>
      <c r="CA11" s="39">
        <v>1</v>
      </c>
      <c r="CB11" s="39">
        <v>51.25</v>
      </c>
      <c r="CC11" s="39">
        <v>0</v>
      </c>
      <c r="CD11" s="39">
        <v>0</v>
      </c>
      <c r="CE11" s="39">
        <v>0</v>
      </c>
      <c r="CF11" s="44">
        <v>0</v>
      </c>
    </row>
    <row r="12" spans="1:84" x14ac:dyDescent="0.35">
      <c r="A12" s="40">
        <v>352613</v>
      </c>
      <c r="B12" s="62">
        <v>44202</v>
      </c>
      <c r="C12" s="62">
        <v>44202</v>
      </c>
      <c r="D12" s="41">
        <v>128</v>
      </c>
      <c r="E12" s="41">
        <v>455.38</v>
      </c>
      <c r="F12" s="41">
        <v>1887.69</v>
      </c>
      <c r="G12" s="41">
        <v>584.26</v>
      </c>
      <c r="H12" s="41">
        <v>851.44</v>
      </c>
      <c r="I12" s="41">
        <v>210.47</v>
      </c>
      <c r="J12" s="41">
        <v>3602.9000000000005</v>
      </c>
      <c r="K12" s="41">
        <v>212.49</v>
      </c>
      <c r="L12" s="41">
        <v>730</v>
      </c>
      <c r="M12" s="41">
        <v>216.82</v>
      </c>
      <c r="N12" s="41">
        <v>3764.8900000000003</v>
      </c>
      <c r="O12" s="41">
        <v>3</v>
      </c>
      <c r="P12" s="41">
        <v>47.97</v>
      </c>
      <c r="Q12" s="41">
        <v>3</v>
      </c>
      <c r="R12" s="41">
        <v>153.18</v>
      </c>
      <c r="S12" s="41">
        <v>5</v>
      </c>
      <c r="T12" s="41">
        <v>9.58</v>
      </c>
      <c r="U12" s="41">
        <v>3.56</v>
      </c>
      <c r="V12" s="41">
        <v>2</v>
      </c>
      <c r="W12" s="41">
        <v>35</v>
      </c>
      <c r="X12" s="41">
        <v>1</v>
      </c>
      <c r="Y12" s="41">
        <v>0</v>
      </c>
      <c r="Z12" s="41">
        <v>137</v>
      </c>
      <c r="AA12" s="41">
        <v>201.51999999999998</v>
      </c>
      <c r="AB12" s="41">
        <v>25</v>
      </c>
      <c r="AC12" s="41">
        <v>166.76999999999998</v>
      </c>
      <c r="AD12" s="41">
        <v>105</v>
      </c>
      <c r="AE12" s="41">
        <v>138.38</v>
      </c>
      <c r="AF12" s="41">
        <v>0</v>
      </c>
      <c r="AG12" s="41">
        <v>0</v>
      </c>
      <c r="AH12" s="41">
        <v>0</v>
      </c>
      <c r="AI12" s="41">
        <v>0</v>
      </c>
      <c r="AJ12" s="41">
        <v>269.23</v>
      </c>
      <c r="AK12" s="41">
        <v>0</v>
      </c>
      <c r="AL12" s="41">
        <v>454.07</v>
      </c>
      <c r="AM12" s="41">
        <v>0</v>
      </c>
      <c r="AN12" s="41">
        <v>1041</v>
      </c>
      <c r="AO12" s="41">
        <v>0</v>
      </c>
      <c r="AP12" s="41">
        <v>48.960000000000036</v>
      </c>
      <c r="AQ12" s="41">
        <v>85</v>
      </c>
      <c r="AR12" s="41">
        <v>534.73</v>
      </c>
      <c r="AS12" s="41">
        <v>285</v>
      </c>
      <c r="AT12" s="41">
        <v>1664.9699999999998</v>
      </c>
      <c r="AU12" s="41">
        <v>15</v>
      </c>
      <c r="AV12" s="41">
        <v>79.009999999999991</v>
      </c>
      <c r="AW12" s="41">
        <v>9</v>
      </c>
      <c r="AX12" s="41">
        <v>46.25</v>
      </c>
      <c r="AY12" s="41">
        <v>103</v>
      </c>
      <c r="AZ12" s="41">
        <v>430.2</v>
      </c>
      <c r="BA12" s="41">
        <v>0</v>
      </c>
      <c r="BB12" s="41">
        <v>0</v>
      </c>
      <c r="BC12" s="41">
        <v>0</v>
      </c>
      <c r="BD12" s="41">
        <v>0</v>
      </c>
      <c r="BE12" s="41">
        <v>0</v>
      </c>
      <c r="BF12" s="41">
        <v>0</v>
      </c>
      <c r="BG12" s="41">
        <v>0</v>
      </c>
      <c r="BH12" s="41">
        <v>0</v>
      </c>
      <c r="BI12" s="41">
        <v>0</v>
      </c>
      <c r="BJ12" s="41">
        <v>0</v>
      </c>
      <c r="BK12" s="41">
        <v>0</v>
      </c>
      <c r="BL12" s="41">
        <v>0</v>
      </c>
      <c r="BM12" s="41">
        <v>0</v>
      </c>
      <c r="BN12" s="41">
        <v>0</v>
      </c>
      <c r="BO12" s="41">
        <v>0</v>
      </c>
      <c r="BP12" s="41">
        <v>9</v>
      </c>
      <c r="BQ12" s="41">
        <v>100.52</v>
      </c>
      <c r="BR12" s="41">
        <v>118.71000000000001</v>
      </c>
      <c r="BS12" s="41">
        <v>3361.32</v>
      </c>
      <c r="BT12" s="41">
        <v>0</v>
      </c>
      <c r="BU12" s="41">
        <v>0</v>
      </c>
      <c r="BV12" s="41">
        <v>9.8000000000001819</v>
      </c>
      <c r="BW12" s="41">
        <v>9.8000000000000007</v>
      </c>
      <c r="BX12" s="41">
        <v>0</v>
      </c>
      <c r="BY12" s="41">
        <v>0</v>
      </c>
      <c r="BZ12" s="41">
        <v>0</v>
      </c>
      <c r="CA12" s="41">
        <v>3</v>
      </c>
      <c r="CB12" s="41">
        <v>32.49</v>
      </c>
      <c r="CC12" s="41">
        <v>0</v>
      </c>
      <c r="CD12" s="41">
        <v>0</v>
      </c>
      <c r="CE12" s="41">
        <v>1</v>
      </c>
      <c r="CF12" s="43">
        <v>6.46</v>
      </c>
    </row>
    <row r="24" spans="1:84" x14ac:dyDescent="0.35">
      <c r="A24" s="40" t="s">
        <v>119</v>
      </c>
      <c r="B24" s="62">
        <v>44201</v>
      </c>
      <c r="C24" s="62">
        <v>44201</v>
      </c>
      <c r="D24" s="41">
        <v>71</v>
      </c>
      <c r="E24" s="63">
        <v>221.22</v>
      </c>
      <c r="F24" s="63">
        <v>1179.01</v>
      </c>
      <c r="G24" s="63">
        <v>425.22</v>
      </c>
      <c r="H24" s="63">
        <v>500.62</v>
      </c>
      <c r="I24" s="63">
        <v>136.84</v>
      </c>
      <c r="J24" s="63">
        <v>2401.1</v>
      </c>
      <c r="K24" s="63">
        <v>38.869999999999997</v>
      </c>
      <c r="L24" s="41">
        <v>439</v>
      </c>
      <c r="M24" s="63">
        <v>41.06</v>
      </c>
      <c r="N24" s="63">
        <v>2520.44</v>
      </c>
      <c r="O24" s="41">
        <v>0</v>
      </c>
      <c r="P24" s="63">
        <v>0</v>
      </c>
      <c r="Q24" s="41">
        <v>11</v>
      </c>
      <c r="R24" s="63">
        <v>5.99</v>
      </c>
      <c r="S24" s="41">
        <v>32</v>
      </c>
      <c r="T24" s="63">
        <v>58.03</v>
      </c>
      <c r="U24" s="63">
        <v>57.51</v>
      </c>
      <c r="V24" s="41">
        <v>1</v>
      </c>
      <c r="W24" s="63">
        <v>10</v>
      </c>
      <c r="X24" s="41">
        <v>11</v>
      </c>
      <c r="Y24" s="63">
        <v>0</v>
      </c>
      <c r="Z24" s="41">
        <v>77</v>
      </c>
      <c r="AA24" s="63">
        <v>319.64999999999998</v>
      </c>
      <c r="AB24" s="41">
        <v>11</v>
      </c>
      <c r="AC24" s="63">
        <v>25.2</v>
      </c>
      <c r="AD24" s="41">
        <v>0</v>
      </c>
      <c r="AE24" s="63">
        <v>0</v>
      </c>
      <c r="AF24" s="63">
        <v>0</v>
      </c>
      <c r="AG24" s="63">
        <v>0</v>
      </c>
      <c r="AH24" s="63">
        <v>0</v>
      </c>
      <c r="AI24" s="63">
        <v>0</v>
      </c>
      <c r="AJ24" s="63">
        <v>195.31</v>
      </c>
      <c r="AK24" s="41"/>
      <c r="AL24" s="63">
        <v>2439.9699999999998</v>
      </c>
      <c r="AM24" s="63">
        <v>0</v>
      </c>
      <c r="AN24" s="63">
        <v>1</v>
      </c>
      <c r="AO24" s="63">
        <v>0</v>
      </c>
      <c r="AP24" s="63">
        <v>-705.14</v>
      </c>
      <c r="AQ24" s="41">
        <v>47</v>
      </c>
      <c r="AR24" s="63">
        <v>369.77</v>
      </c>
      <c r="AS24" s="41">
        <v>164</v>
      </c>
      <c r="AT24" s="63">
        <v>1059.8399999999999</v>
      </c>
      <c r="AU24" s="41">
        <v>8</v>
      </c>
      <c r="AV24" s="63">
        <v>55.22</v>
      </c>
      <c r="AW24" s="41">
        <v>9</v>
      </c>
      <c r="AX24" s="63">
        <v>74.77</v>
      </c>
      <c r="AY24" s="41">
        <v>49</v>
      </c>
      <c r="AZ24" s="63">
        <v>161.21</v>
      </c>
      <c r="BA24" s="41">
        <v>1</v>
      </c>
      <c r="BB24" s="63">
        <v>5.59</v>
      </c>
      <c r="BC24" s="41"/>
      <c r="BD24" s="41"/>
      <c r="BE24" s="41">
        <v>5</v>
      </c>
      <c r="BF24" s="63">
        <v>27.22</v>
      </c>
      <c r="BG24" s="41">
        <v>1</v>
      </c>
      <c r="BH24" s="63">
        <v>4.96</v>
      </c>
      <c r="BI24" s="41"/>
      <c r="BJ24" s="41"/>
      <c r="BK24" s="41">
        <v>5</v>
      </c>
      <c r="BL24" s="63">
        <v>40.1</v>
      </c>
      <c r="BM24" s="41"/>
      <c r="BN24" s="41"/>
      <c r="BO24" s="41"/>
      <c r="BP24" s="41">
        <v>7</v>
      </c>
      <c r="BQ24" s="63">
        <v>68.75</v>
      </c>
      <c r="BR24" s="63">
        <v>54.16</v>
      </c>
      <c r="BS24" s="41"/>
      <c r="BT24" s="41"/>
      <c r="BU24" s="41"/>
      <c r="BV24" s="41"/>
      <c r="BW24" s="41"/>
      <c r="BX24" s="41"/>
      <c r="BY24" s="41"/>
      <c r="BZ24" s="41"/>
      <c r="CA24" s="41">
        <v>5</v>
      </c>
      <c r="CB24" s="63">
        <v>71.709999999999994</v>
      </c>
      <c r="CC24" s="41"/>
      <c r="CD24" s="41"/>
      <c r="CE24" s="41"/>
      <c r="CF24" s="43"/>
    </row>
    <row r="25" spans="1:84" x14ac:dyDescent="0.35">
      <c r="A25" s="42" t="s">
        <v>119</v>
      </c>
      <c r="B25" s="61">
        <v>44202</v>
      </c>
      <c r="C25" s="61">
        <v>44202</v>
      </c>
      <c r="D25" s="39">
        <v>20</v>
      </c>
      <c r="E25" s="64">
        <v>74.66</v>
      </c>
      <c r="F25" s="64">
        <v>200.61</v>
      </c>
      <c r="G25" s="64">
        <v>95.24</v>
      </c>
      <c r="H25" s="64">
        <v>84.06</v>
      </c>
      <c r="I25" s="64">
        <v>16.46</v>
      </c>
      <c r="J25" s="64">
        <v>407.73</v>
      </c>
      <c r="K25" s="64">
        <v>46.34</v>
      </c>
      <c r="L25" s="39">
        <v>86</v>
      </c>
      <c r="M25" s="64">
        <v>46.48</v>
      </c>
      <c r="N25" s="64">
        <v>421.25</v>
      </c>
      <c r="O25" s="39">
        <v>0</v>
      </c>
      <c r="P25" s="64">
        <v>0</v>
      </c>
      <c r="Q25" s="39">
        <v>3</v>
      </c>
      <c r="R25" s="64">
        <v>0.52</v>
      </c>
      <c r="S25" s="39">
        <v>5</v>
      </c>
      <c r="T25" s="64">
        <v>9.58</v>
      </c>
      <c r="U25" s="64">
        <v>3.56</v>
      </c>
      <c r="V25" s="39">
        <v>2</v>
      </c>
      <c r="W25" s="64">
        <v>35</v>
      </c>
      <c r="X25" s="39">
        <v>1</v>
      </c>
      <c r="Y25" s="64">
        <v>0</v>
      </c>
      <c r="Z25" s="39">
        <v>8</v>
      </c>
      <c r="AA25" s="64">
        <v>13.07</v>
      </c>
      <c r="AB25" s="39">
        <v>4</v>
      </c>
      <c r="AC25" s="64">
        <v>16.170000000000002</v>
      </c>
      <c r="AD25" s="39">
        <v>5</v>
      </c>
      <c r="AE25" s="64">
        <v>29.1</v>
      </c>
      <c r="AF25" s="64">
        <v>0</v>
      </c>
      <c r="AG25" s="64">
        <v>0</v>
      </c>
      <c r="AH25" s="64">
        <v>0</v>
      </c>
      <c r="AI25" s="64">
        <v>0</v>
      </c>
      <c r="AJ25" s="64">
        <v>0</v>
      </c>
      <c r="AK25" s="39"/>
      <c r="AL25" s="64">
        <v>454.07</v>
      </c>
      <c r="AM25" s="64">
        <v>0</v>
      </c>
      <c r="AN25" s="64">
        <v>0</v>
      </c>
      <c r="AO25" s="64">
        <v>0</v>
      </c>
      <c r="AP25" s="64">
        <v>0</v>
      </c>
      <c r="AQ25" s="39">
        <v>10</v>
      </c>
      <c r="AR25" s="64">
        <v>50.43</v>
      </c>
      <c r="AS25" s="39">
        <v>27</v>
      </c>
      <c r="AT25" s="64">
        <v>151.88999999999999</v>
      </c>
      <c r="AU25" s="39">
        <v>1</v>
      </c>
      <c r="AV25" s="64">
        <v>2.69</v>
      </c>
      <c r="AW25" s="39">
        <v>3</v>
      </c>
      <c r="AX25" s="64">
        <v>14.85</v>
      </c>
      <c r="AY25" s="39">
        <v>13</v>
      </c>
      <c r="AZ25" s="64">
        <v>38.26</v>
      </c>
      <c r="BA25" s="39"/>
      <c r="BB25" s="39"/>
      <c r="BC25" s="39"/>
      <c r="BD25" s="39"/>
      <c r="BE25" s="39"/>
      <c r="BF25" s="39"/>
      <c r="BG25" s="39"/>
      <c r="BH25" s="39"/>
      <c r="BI25" s="39"/>
      <c r="BJ25" s="39"/>
      <c r="BK25" s="39"/>
      <c r="BL25" s="39"/>
      <c r="BM25" s="39"/>
      <c r="BN25" s="39"/>
      <c r="BO25" s="39"/>
      <c r="BP25" s="39"/>
      <c r="BQ25" s="39"/>
      <c r="BR25" s="64">
        <v>35.51</v>
      </c>
      <c r="BS25" s="39"/>
      <c r="BT25" s="39"/>
      <c r="BU25" s="39"/>
      <c r="BV25" s="39"/>
      <c r="BW25" s="39"/>
      <c r="BX25" s="39"/>
      <c r="BY25" s="39"/>
      <c r="BZ25" s="39"/>
      <c r="CA25" s="39"/>
      <c r="CB25" s="39"/>
      <c r="CC25" s="39"/>
      <c r="CD25" s="39"/>
      <c r="CE25" s="39"/>
      <c r="CF25" s="44"/>
    </row>
    <row r="26" spans="1:84" x14ac:dyDescent="0.35">
      <c r="A26" s="40">
        <v>352613</v>
      </c>
      <c r="B26" s="62">
        <v>44201</v>
      </c>
      <c r="C26" s="62">
        <v>44201</v>
      </c>
      <c r="D26" s="41">
        <v>14</v>
      </c>
      <c r="E26" s="41">
        <v>53.56</v>
      </c>
      <c r="F26" s="41">
        <v>198.34</v>
      </c>
      <c r="G26" s="41">
        <v>78.03</v>
      </c>
      <c r="H26" s="41">
        <v>65.7</v>
      </c>
      <c r="I26" s="41">
        <v>2.59</v>
      </c>
      <c r="J26" s="41">
        <v>384.25</v>
      </c>
      <c r="K26" s="41">
        <v>107.26</v>
      </c>
      <c r="L26" s="41">
        <v>89</v>
      </c>
      <c r="M26" s="41">
        <v>113.36</v>
      </c>
      <c r="N26" s="41">
        <v>412.85</v>
      </c>
      <c r="O26" s="41">
        <v>1</v>
      </c>
      <c r="P26" s="41">
        <v>2.59</v>
      </c>
      <c r="Q26" s="41"/>
      <c r="R26" s="41">
        <v>34.700000000000003</v>
      </c>
      <c r="S26" s="41"/>
      <c r="T26" s="41"/>
      <c r="U26" s="41"/>
      <c r="V26" s="41">
        <v>0</v>
      </c>
      <c r="W26" s="41">
        <v>0</v>
      </c>
      <c r="X26" s="41">
        <v>0</v>
      </c>
      <c r="Y26" s="41">
        <v>0</v>
      </c>
      <c r="Z26" s="41">
        <v>18</v>
      </c>
      <c r="AA26" s="41">
        <v>96.14</v>
      </c>
      <c r="AB26" s="41">
        <v>28</v>
      </c>
      <c r="AC26" s="41">
        <v>92.82</v>
      </c>
      <c r="AD26" s="41">
        <v>13</v>
      </c>
      <c r="AE26" s="41">
        <v>20.05</v>
      </c>
      <c r="AF26" s="41"/>
      <c r="AG26" s="41"/>
      <c r="AH26" s="41">
        <v>0</v>
      </c>
      <c r="AI26" s="41"/>
      <c r="AJ26" s="41">
        <v>39.4</v>
      </c>
      <c r="AK26" s="41"/>
      <c r="AL26" s="41"/>
      <c r="AM26" s="41"/>
      <c r="AN26" s="41">
        <v>64</v>
      </c>
      <c r="AO26" s="41">
        <v>0</v>
      </c>
      <c r="AP26" s="41">
        <v>-88.31</v>
      </c>
      <c r="AQ26" s="41">
        <v>14</v>
      </c>
      <c r="AR26" s="41">
        <v>76.45</v>
      </c>
      <c r="AS26" s="41">
        <v>24</v>
      </c>
      <c r="AT26" s="41">
        <v>168.56</v>
      </c>
      <c r="AU26" s="41">
        <v>1</v>
      </c>
      <c r="AV26" s="41">
        <v>6.12</v>
      </c>
      <c r="AW26" s="41">
        <v>2</v>
      </c>
      <c r="AX26" s="41">
        <v>16.91</v>
      </c>
      <c r="AY26" s="41">
        <v>22</v>
      </c>
      <c r="AZ26" s="41">
        <v>59.31</v>
      </c>
      <c r="BA26" s="41"/>
      <c r="BB26" s="41"/>
      <c r="BC26" s="41"/>
      <c r="BD26" s="41"/>
      <c r="BE26" s="41"/>
      <c r="BF26" s="41"/>
      <c r="BG26" s="41"/>
      <c r="BH26" s="41"/>
      <c r="BI26" s="41"/>
      <c r="BJ26" s="41"/>
      <c r="BK26" s="41"/>
      <c r="BL26" s="41"/>
      <c r="BM26" s="41"/>
      <c r="BN26" s="41"/>
      <c r="BO26" s="41"/>
      <c r="BP26" s="41"/>
      <c r="BQ26" s="41"/>
      <c r="BR26" s="41"/>
      <c r="BS26" s="41">
        <v>492.51</v>
      </c>
      <c r="BT26" s="41"/>
      <c r="BU26" s="41"/>
      <c r="BV26" s="41">
        <v>0</v>
      </c>
      <c r="BW26" s="41">
        <v>0</v>
      </c>
      <c r="BX26" s="41"/>
      <c r="BY26" s="41"/>
      <c r="BZ26" s="41"/>
      <c r="CA26" s="41">
        <v>1</v>
      </c>
      <c r="CB26" s="41">
        <v>51.25</v>
      </c>
      <c r="CC26" s="41"/>
      <c r="CD26" s="41"/>
      <c r="CE26" s="41"/>
      <c r="CF26" s="43"/>
    </row>
    <row r="27" spans="1:84" x14ac:dyDescent="0.35">
      <c r="A27" s="42">
        <v>352613</v>
      </c>
      <c r="B27" s="61">
        <v>44202</v>
      </c>
      <c r="C27" s="61">
        <v>44202</v>
      </c>
      <c r="D27" s="39">
        <v>108</v>
      </c>
      <c r="E27" s="39">
        <v>380.72</v>
      </c>
      <c r="F27" s="39">
        <v>1687.08</v>
      </c>
      <c r="G27" s="39">
        <v>489.02</v>
      </c>
      <c r="H27" s="39">
        <v>767.38</v>
      </c>
      <c r="I27" s="39">
        <v>194.01</v>
      </c>
      <c r="J27" s="39">
        <v>3195.1700000000005</v>
      </c>
      <c r="K27" s="39">
        <v>166.15</v>
      </c>
      <c r="L27" s="39">
        <v>644</v>
      </c>
      <c r="M27" s="39">
        <v>170.34</v>
      </c>
      <c r="N27" s="39">
        <v>3343.6400000000003</v>
      </c>
      <c r="O27" s="39">
        <v>3</v>
      </c>
      <c r="P27" s="39">
        <v>47.97</v>
      </c>
      <c r="Q27" s="39"/>
      <c r="R27" s="39">
        <v>152.66</v>
      </c>
      <c r="S27" s="39"/>
      <c r="T27" s="39"/>
      <c r="U27" s="39"/>
      <c r="V27" s="39">
        <v>0</v>
      </c>
      <c r="W27" s="39">
        <v>0</v>
      </c>
      <c r="X27" s="39">
        <v>0</v>
      </c>
      <c r="Y27" s="39">
        <v>0</v>
      </c>
      <c r="Z27" s="39">
        <v>129</v>
      </c>
      <c r="AA27" s="39">
        <v>188.45</v>
      </c>
      <c r="AB27" s="39">
        <v>21</v>
      </c>
      <c r="AC27" s="39">
        <v>150.6</v>
      </c>
      <c r="AD27" s="39">
        <v>100</v>
      </c>
      <c r="AE27" s="39">
        <v>109.28</v>
      </c>
      <c r="AF27" s="39"/>
      <c r="AG27" s="39"/>
      <c r="AH27" s="39">
        <v>0</v>
      </c>
      <c r="AI27" s="39"/>
      <c r="AJ27" s="39">
        <v>269.23</v>
      </c>
      <c r="AK27" s="39"/>
      <c r="AL27" s="39"/>
      <c r="AM27" s="39"/>
      <c r="AN27" s="39">
        <v>1041</v>
      </c>
      <c r="AO27" s="39">
        <v>0</v>
      </c>
      <c r="AP27" s="39">
        <v>48.960000000000036</v>
      </c>
      <c r="AQ27" s="39">
        <v>75</v>
      </c>
      <c r="AR27" s="39">
        <v>484.3</v>
      </c>
      <c r="AS27" s="39">
        <v>258</v>
      </c>
      <c r="AT27" s="39">
        <v>1513.08</v>
      </c>
      <c r="AU27" s="39">
        <v>14</v>
      </c>
      <c r="AV27" s="39">
        <v>76.319999999999993</v>
      </c>
      <c r="AW27" s="39">
        <v>6</v>
      </c>
      <c r="AX27" s="39">
        <v>31.4</v>
      </c>
      <c r="AY27" s="39">
        <v>90</v>
      </c>
      <c r="AZ27" s="39">
        <v>391.94</v>
      </c>
      <c r="BA27" s="39"/>
      <c r="BB27" s="39"/>
      <c r="BC27" s="39"/>
      <c r="BD27" s="39"/>
      <c r="BE27" s="39"/>
      <c r="BF27" s="39"/>
      <c r="BG27" s="39"/>
      <c r="BH27" s="39"/>
      <c r="BI27" s="39"/>
      <c r="BJ27" s="39"/>
      <c r="BK27" s="39"/>
      <c r="BL27" s="39"/>
      <c r="BM27" s="39"/>
      <c r="BN27" s="39"/>
      <c r="BO27" s="39"/>
      <c r="BP27" s="39">
        <v>9</v>
      </c>
      <c r="BQ27" s="39">
        <v>100.52</v>
      </c>
      <c r="BR27" s="39">
        <v>83.2</v>
      </c>
      <c r="BS27" s="39">
        <v>3361.32</v>
      </c>
      <c r="BT27" s="39"/>
      <c r="BU27" s="39"/>
      <c r="BV27" s="39">
        <v>9.8000000000001819</v>
      </c>
      <c r="BW27" s="39">
        <v>9.8000000000000007</v>
      </c>
      <c r="BX27" s="39"/>
      <c r="BY27" s="39"/>
      <c r="BZ27" s="39"/>
      <c r="CA27" s="39">
        <v>3</v>
      </c>
      <c r="CB27" s="39">
        <v>32.49</v>
      </c>
      <c r="CC27" s="39"/>
      <c r="CD27" s="39"/>
      <c r="CE27" s="39">
        <v>1</v>
      </c>
      <c r="CF27" s="44">
        <v>6.46</v>
      </c>
    </row>
    <row r="28" spans="1:84" x14ac:dyDescent="0.35">
      <c r="A28" s="40">
        <v>352613</v>
      </c>
      <c r="B28" s="62">
        <v>44201</v>
      </c>
      <c r="C28" s="62">
        <v>44201</v>
      </c>
      <c r="D28">
        <f>D24+D26</f>
        <v>85</v>
      </c>
      <c r="E28">
        <f t="shared" ref="E28:BP28" si="6">E24+E26</f>
        <v>274.77999999999997</v>
      </c>
      <c r="F28">
        <f t="shared" si="6"/>
        <v>1377.35</v>
      </c>
      <c r="G28">
        <f t="shared" si="6"/>
        <v>503.25</v>
      </c>
      <c r="H28">
        <f t="shared" si="6"/>
        <v>566.32000000000005</v>
      </c>
      <c r="I28">
        <f t="shared" si="6"/>
        <v>139.43</v>
      </c>
      <c r="J28">
        <f t="shared" si="6"/>
        <v>2785.35</v>
      </c>
      <c r="K28">
        <f t="shared" si="6"/>
        <v>146.13</v>
      </c>
      <c r="L28">
        <f t="shared" si="6"/>
        <v>528</v>
      </c>
      <c r="M28">
        <f t="shared" si="6"/>
        <v>154.42000000000002</v>
      </c>
      <c r="N28">
        <f t="shared" si="6"/>
        <v>2933.29</v>
      </c>
      <c r="O28">
        <f t="shared" si="6"/>
        <v>1</v>
      </c>
      <c r="P28">
        <f t="shared" si="6"/>
        <v>2.59</v>
      </c>
      <c r="Q28">
        <f t="shared" si="6"/>
        <v>11</v>
      </c>
      <c r="R28">
        <f t="shared" si="6"/>
        <v>40.690000000000005</v>
      </c>
      <c r="S28">
        <f t="shared" si="6"/>
        <v>32</v>
      </c>
      <c r="T28">
        <f t="shared" si="6"/>
        <v>58.03</v>
      </c>
      <c r="U28">
        <f t="shared" si="6"/>
        <v>57.51</v>
      </c>
      <c r="V28">
        <f t="shared" si="6"/>
        <v>1</v>
      </c>
      <c r="W28">
        <f t="shared" si="6"/>
        <v>10</v>
      </c>
      <c r="X28">
        <f t="shared" si="6"/>
        <v>11</v>
      </c>
      <c r="Y28">
        <f t="shared" si="6"/>
        <v>0</v>
      </c>
      <c r="Z28">
        <f t="shared" si="6"/>
        <v>95</v>
      </c>
      <c r="AA28">
        <f t="shared" si="6"/>
        <v>415.78999999999996</v>
      </c>
      <c r="AB28">
        <f t="shared" si="6"/>
        <v>39</v>
      </c>
      <c r="AC28">
        <f t="shared" si="6"/>
        <v>118.02</v>
      </c>
      <c r="AD28">
        <f t="shared" si="6"/>
        <v>13</v>
      </c>
      <c r="AE28">
        <f t="shared" si="6"/>
        <v>20.05</v>
      </c>
      <c r="AF28">
        <f t="shared" si="6"/>
        <v>0</v>
      </c>
      <c r="AG28">
        <f t="shared" si="6"/>
        <v>0</v>
      </c>
      <c r="AH28">
        <f t="shared" si="6"/>
        <v>0</v>
      </c>
      <c r="AI28">
        <f t="shared" si="6"/>
        <v>0</v>
      </c>
      <c r="AJ28">
        <f t="shared" si="6"/>
        <v>234.71</v>
      </c>
      <c r="AK28">
        <f t="shared" si="6"/>
        <v>0</v>
      </c>
      <c r="AL28">
        <f t="shared" si="6"/>
        <v>2439.9699999999998</v>
      </c>
      <c r="AM28">
        <f t="shared" si="6"/>
        <v>0</v>
      </c>
      <c r="AN28">
        <f t="shared" si="6"/>
        <v>65</v>
      </c>
      <c r="AO28">
        <f t="shared" si="6"/>
        <v>0</v>
      </c>
      <c r="AP28">
        <f t="shared" si="6"/>
        <v>-793.45</v>
      </c>
      <c r="AQ28">
        <f t="shared" si="6"/>
        <v>61</v>
      </c>
      <c r="AR28">
        <f t="shared" si="6"/>
        <v>446.21999999999997</v>
      </c>
      <c r="AS28">
        <f t="shared" si="6"/>
        <v>188</v>
      </c>
      <c r="AT28">
        <f t="shared" si="6"/>
        <v>1228.3999999999999</v>
      </c>
      <c r="AU28">
        <f t="shared" si="6"/>
        <v>9</v>
      </c>
      <c r="AV28">
        <f t="shared" si="6"/>
        <v>61.339999999999996</v>
      </c>
      <c r="AW28">
        <f t="shared" si="6"/>
        <v>11</v>
      </c>
      <c r="AX28">
        <f t="shared" si="6"/>
        <v>91.679999999999993</v>
      </c>
      <c r="AY28">
        <f t="shared" si="6"/>
        <v>71</v>
      </c>
      <c r="AZ28">
        <f t="shared" si="6"/>
        <v>220.52</v>
      </c>
      <c r="BA28">
        <f t="shared" si="6"/>
        <v>1</v>
      </c>
      <c r="BB28">
        <f t="shared" si="6"/>
        <v>5.59</v>
      </c>
      <c r="BC28">
        <f t="shared" si="6"/>
        <v>0</v>
      </c>
      <c r="BD28">
        <f t="shared" si="6"/>
        <v>0</v>
      </c>
      <c r="BE28">
        <f t="shared" si="6"/>
        <v>5</v>
      </c>
      <c r="BF28">
        <f t="shared" si="6"/>
        <v>27.22</v>
      </c>
      <c r="BG28">
        <f t="shared" si="6"/>
        <v>1</v>
      </c>
      <c r="BH28">
        <f t="shared" si="6"/>
        <v>4.96</v>
      </c>
      <c r="BI28">
        <f t="shared" si="6"/>
        <v>0</v>
      </c>
      <c r="BJ28">
        <f t="shared" si="6"/>
        <v>0</v>
      </c>
      <c r="BK28">
        <f t="shared" si="6"/>
        <v>5</v>
      </c>
      <c r="BL28">
        <f t="shared" si="6"/>
        <v>40.1</v>
      </c>
      <c r="BM28">
        <f t="shared" si="6"/>
        <v>0</v>
      </c>
      <c r="BN28">
        <f t="shared" si="6"/>
        <v>0</v>
      </c>
      <c r="BO28">
        <f t="shared" si="6"/>
        <v>0</v>
      </c>
      <c r="BP28">
        <f t="shared" si="6"/>
        <v>7</v>
      </c>
      <c r="BQ28">
        <f t="shared" ref="BQ28:CF28" si="7">BQ24+BQ26</f>
        <v>68.75</v>
      </c>
      <c r="BR28">
        <f t="shared" si="7"/>
        <v>54.16</v>
      </c>
      <c r="BS28">
        <f t="shared" si="7"/>
        <v>492.51</v>
      </c>
      <c r="BT28">
        <f t="shared" si="7"/>
        <v>0</v>
      </c>
      <c r="BU28">
        <f t="shared" si="7"/>
        <v>0</v>
      </c>
      <c r="BV28">
        <f t="shared" si="7"/>
        <v>0</v>
      </c>
      <c r="BW28">
        <f t="shared" si="7"/>
        <v>0</v>
      </c>
      <c r="BX28">
        <f t="shared" si="7"/>
        <v>0</v>
      </c>
      <c r="BY28">
        <f t="shared" si="7"/>
        <v>0</v>
      </c>
      <c r="BZ28">
        <f t="shared" si="7"/>
        <v>0</v>
      </c>
      <c r="CA28">
        <f t="shared" si="7"/>
        <v>6</v>
      </c>
      <c r="CB28">
        <f t="shared" si="7"/>
        <v>122.96</v>
      </c>
      <c r="CC28">
        <f t="shared" si="7"/>
        <v>0</v>
      </c>
      <c r="CD28">
        <f t="shared" si="7"/>
        <v>0</v>
      </c>
      <c r="CE28">
        <f t="shared" si="7"/>
        <v>0</v>
      </c>
      <c r="CF28">
        <f t="shared" si="7"/>
        <v>0</v>
      </c>
    </row>
    <row r="29" spans="1:84" x14ac:dyDescent="0.35">
      <c r="A29" s="42">
        <v>352613</v>
      </c>
      <c r="B29" s="61">
        <v>44202</v>
      </c>
      <c r="C29" s="61">
        <v>44202</v>
      </c>
      <c r="D29">
        <f>D25+D27</f>
        <v>128</v>
      </c>
      <c r="E29">
        <f t="shared" ref="E29:BP29" si="8">E25+E27</f>
        <v>455.38</v>
      </c>
      <c r="F29">
        <f t="shared" si="8"/>
        <v>1887.69</v>
      </c>
      <c r="G29">
        <f t="shared" si="8"/>
        <v>584.26</v>
      </c>
      <c r="H29">
        <f t="shared" si="8"/>
        <v>851.44</v>
      </c>
      <c r="I29">
        <f t="shared" si="8"/>
        <v>210.47</v>
      </c>
      <c r="J29">
        <f t="shared" si="8"/>
        <v>3602.9000000000005</v>
      </c>
      <c r="K29">
        <f t="shared" si="8"/>
        <v>212.49</v>
      </c>
      <c r="L29">
        <f t="shared" si="8"/>
        <v>730</v>
      </c>
      <c r="M29">
        <f t="shared" si="8"/>
        <v>216.82</v>
      </c>
      <c r="N29">
        <f t="shared" si="8"/>
        <v>3764.8900000000003</v>
      </c>
      <c r="O29">
        <f t="shared" si="8"/>
        <v>3</v>
      </c>
      <c r="P29">
        <f t="shared" si="8"/>
        <v>47.97</v>
      </c>
      <c r="Q29">
        <f t="shared" si="8"/>
        <v>3</v>
      </c>
      <c r="R29">
        <f t="shared" si="8"/>
        <v>153.18</v>
      </c>
      <c r="S29">
        <f t="shared" si="8"/>
        <v>5</v>
      </c>
      <c r="T29">
        <f t="shared" si="8"/>
        <v>9.58</v>
      </c>
      <c r="U29">
        <f t="shared" si="8"/>
        <v>3.56</v>
      </c>
      <c r="V29">
        <f t="shared" si="8"/>
        <v>2</v>
      </c>
      <c r="W29">
        <f t="shared" si="8"/>
        <v>35</v>
      </c>
      <c r="X29">
        <f t="shared" si="8"/>
        <v>1</v>
      </c>
      <c r="Y29">
        <f t="shared" si="8"/>
        <v>0</v>
      </c>
      <c r="Z29">
        <f t="shared" si="8"/>
        <v>137</v>
      </c>
      <c r="AA29">
        <f t="shared" si="8"/>
        <v>201.51999999999998</v>
      </c>
      <c r="AB29">
        <f t="shared" si="8"/>
        <v>25</v>
      </c>
      <c r="AC29">
        <f t="shared" si="8"/>
        <v>166.76999999999998</v>
      </c>
      <c r="AD29">
        <f t="shared" si="8"/>
        <v>105</v>
      </c>
      <c r="AE29">
        <f t="shared" si="8"/>
        <v>138.38</v>
      </c>
      <c r="AF29">
        <f t="shared" si="8"/>
        <v>0</v>
      </c>
      <c r="AG29">
        <f t="shared" si="8"/>
        <v>0</v>
      </c>
      <c r="AH29">
        <f t="shared" si="8"/>
        <v>0</v>
      </c>
      <c r="AI29">
        <f t="shared" si="8"/>
        <v>0</v>
      </c>
      <c r="AJ29">
        <f t="shared" si="8"/>
        <v>269.23</v>
      </c>
      <c r="AK29">
        <f t="shared" si="8"/>
        <v>0</v>
      </c>
      <c r="AL29">
        <f t="shared" si="8"/>
        <v>454.07</v>
      </c>
      <c r="AM29">
        <f t="shared" si="8"/>
        <v>0</v>
      </c>
      <c r="AN29">
        <f t="shared" si="8"/>
        <v>1041</v>
      </c>
      <c r="AO29">
        <f t="shared" si="8"/>
        <v>0</v>
      </c>
      <c r="AP29">
        <f t="shared" si="8"/>
        <v>48.960000000000036</v>
      </c>
      <c r="AQ29">
        <f t="shared" si="8"/>
        <v>85</v>
      </c>
      <c r="AR29">
        <f t="shared" si="8"/>
        <v>534.73</v>
      </c>
      <c r="AS29">
        <f t="shared" si="8"/>
        <v>285</v>
      </c>
      <c r="AT29">
        <f t="shared" si="8"/>
        <v>1664.9699999999998</v>
      </c>
      <c r="AU29">
        <f t="shared" si="8"/>
        <v>15</v>
      </c>
      <c r="AV29">
        <f t="shared" si="8"/>
        <v>79.009999999999991</v>
      </c>
      <c r="AW29">
        <f t="shared" si="8"/>
        <v>9</v>
      </c>
      <c r="AX29">
        <f t="shared" si="8"/>
        <v>46.25</v>
      </c>
      <c r="AY29">
        <f t="shared" si="8"/>
        <v>103</v>
      </c>
      <c r="AZ29">
        <f t="shared" si="8"/>
        <v>430.2</v>
      </c>
      <c r="BA29">
        <f t="shared" si="8"/>
        <v>0</v>
      </c>
      <c r="BB29">
        <f t="shared" si="8"/>
        <v>0</v>
      </c>
      <c r="BC29">
        <f t="shared" si="8"/>
        <v>0</v>
      </c>
      <c r="BD29">
        <f t="shared" si="8"/>
        <v>0</v>
      </c>
      <c r="BE29">
        <f t="shared" si="8"/>
        <v>0</v>
      </c>
      <c r="BF29">
        <f t="shared" si="8"/>
        <v>0</v>
      </c>
      <c r="BG29">
        <f t="shared" si="8"/>
        <v>0</v>
      </c>
      <c r="BH29">
        <f t="shared" si="8"/>
        <v>0</v>
      </c>
      <c r="BI29">
        <f t="shared" si="8"/>
        <v>0</v>
      </c>
      <c r="BJ29">
        <f t="shared" si="8"/>
        <v>0</v>
      </c>
      <c r="BK29">
        <f t="shared" si="8"/>
        <v>0</v>
      </c>
      <c r="BL29">
        <f t="shared" si="8"/>
        <v>0</v>
      </c>
      <c r="BM29">
        <f t="shared" si="8"/>
        <v>0</v>
      </c>
      <c r="BN29">
        <f t="shared" si="8"/>
        <v>0</v>
      </c>
      <c r="BO29">
        <f t="shared" si="8"/>
        <v>0</v>
      </c>
      <c r="BP29">
        <f t="shared" si="8"/>
        <v>9</v>
      </c>
      <c r="BQ29">
        <f t="shared" ref="BQ29:CF29" si="9">BQ25+BQ27</f>
        <v>100.52</v>
      </c>
      <c r="BR29">
        <f t="shared" si="9"/>
        <v>118.71000000000001</v>
      </c>
      <c r="BS29">
        <f t="shared" si="9"/>
        <v>3361.32</v>
      </c>
      <c r="BT29">
        <f t="shared" si="9"/>
        <v>0</v>
      </c>
      <c r="BU29">
        <f t="shared" si="9"/>
        <v>0</v>
      </c>
      <c r="BV29">
        <f t="shared" si="9"/>
        <v>9.8000000000001819</v>
      </c>
      <c r="BW29">
        <f t="shared" si="9"/>
        <v>9.8000000000000007</v>
      </c>
      <c r="BX29">
        <f t="shared" si="9"/>
        <v>0</v>
      </c>
      <c r="BY29">
        <f t="shared" si="9"/>
        <v>0</v>
      </c>
      <c r="BZ29">
        <f t="shared" si="9"/>
        <v>0</v>
      </c>
      <c r="CA29">
        <f t="shared" si="9"/>
        <v>3</v>
      </c>
      <c r="CB29">
        <f t="shared" si="9"/>
        <v>32.49</v>
      </c>
      <c r="CC29">
        <f t="shared" si="9"/>
        <v>0</v>
      </c>
      <c r="CD29">
        <f t="shared" si="9"/>
        <v>0</v>
      </c>
      <c r="CE29">
        <f t="shared" si="9"/>
        <v>1</v>
      </c>
      <c r="CF29">
        <f t="shared" si="9"/>
        <v>6.46</v>
      </c>
    </row>
    <row r="37" spans="1:84" x14ac:dyDescent="0.35">
      <c r="A37" s="40">
        <v>352613</v>
      </c>
      <c r="B37" s="62">
        <v>44199</v>
      </c>
      <c r="C37" s="62">
        <v>44199</v>
      </c>
      <c r="D37" s="41">
        <v>106</v>
      </c>
      <c r="E37" s="63">
        <v>325.91000000000003</v>
      </c>
      <c r="F37" s="63">
        <v>1314.88</v>
      </c>
      <c r="G37" s="63">
        <v>637.25</v>
      </c>
      <c r="H37" s="63">
        <v>573.33000000000004</v>
      </c>
      <c r="I37" s="63">
        <v>91.37</v>
      </c>
      <c r="J37" s="63">
        <v>2753.88</v>
      </c>
      <c r="K37" s="63">
        <v>384.64</v>
      </c>
      <c r="L37" s="41">
        <v>481</v>
      </c>
      <c r="M37" s="63">
        <v>395.59</v>
      </c>
      <c r="N37" s="63">
        <v>2858.08</v>
      </c>
      <c r="O37" s="41">
        <v>1</v>
      </c>
      <c r="P37" s="63">
        <v>10.46</v>
      </c>
      <c r="Q37" s="41">
        <v>11</v>
      </c>
      <c r="R37" s="63">
        <v>5.01</v>
      </c>
      <c r="S37" s="41">
        <v>28</v>
      </c>
      <c r="T37" s="63">
        <v>49.91</v>
      </c>
      <c r="U37" s="63">
        <v>49.77</v>
      </c>
      <c r="V37" s="41">
        <v>0</v>
      </c>
      <c r="W37" s="63">
        <v>0</v>
      </c>
      <c r="X37" s="41">
        <v>19</v>
      </c>
      <c r="Y37" s="63">
        <v>0</v>
      </c>
      <c r="Z37" s="41">
        <v>64</v>
      </c>
      <c r="AA37" s="63">
        <v>184.45</v>
      </c>
      <c r="AB37" s="41">
        <v>10</v>
      </c>
      <c r="AC37" s="63">
        <v>26.41</v>
      </c>
      <c r="AD37" s="41">
        <v>0</v>
      </c>
      <c r="AE37" s="63">
        <v>0</v>
      </c>
      <c r="AF37" s="63">
        <v>0</v>
      </c>
      <c r="AG37" s="63">
        <v>0</v>
      </c>
      <c r="AH37" s="63">
        <v>0</v>
      </c>
      <c r="AI37" s="63">
        <v>0</v>
      </c>
      <c r="AJ37" s="63">
        <v>251.21</v>
      </c>
      <c r="AK37" s="41"/>
      <c r="AL37" s="63">
        <v>3138.52</v>
      </c>
      <c r="AM37" s="63">
        <v>0</v>
      </c>
      <c r="AN37" s="63">
        <v>640</v>
      </c>
      <c r="AO37" s="63">
        <v>0</v>
      </c>
      <c r="AP37" s="63">
        <v>-354.3</v>
      </c>
      <c r="AQ37" s="41">
        <v>62</v>
      </c>
      <c r="AR37" s="63">
        <v>458.4</v>
      </c>
      <c r="AS37" s="41">
        <v>178</v>
      </c>
      <c r="AT37" s="63">
        <v>1269.17</v>
      </c>
      <c r="AU37" s="41">
        <v>13</v>
      </c>
      <c r="AV37" s="63">
        <v>94.95</v>
      </c>
      <c r="AW37" s="41">
        <v>4</v>
      </c>
      <c r="AX37" s="63">
        <v>25.84</v>
      </c>
      <c r="AY37" s="41">
        <v>42</v>
      </c>
      <c r="AZ37" s="63">
        <v>254.86</v>
      </c>
      <c r="BA37" s="41">
        <v>1</v>
      </c>
      <c r="BB37" s="63">
        <v>4.95</v>
      </c>
      <c r="BC37" s="41">
        <v>1</v>
      </c>
      <c r="BD37" s="63">
        <v>2.16</v>
      </c>
      <c r="BE37" s="41">
        <v>5</v>
      </c>
      <c r="BF37" s="63">
        <v>31.32</v>
      </c>
      <c r="BG37" s="41">
        <v>3</v>
      </c>
      <c r="BH37" s="63">
        <v>17.38</v>
      </c>
      <c r="BI37" s="41"/>
      <c r="BJ37" s="41"/>
      <c r="BK37" s="41">
        <v>6</v>
      </c>
      <c r="BL37" s="63">
        <v>32.9</v>
      </c>
      <c r="BM37" s="41"/>
      <c r="BN37" s="41"/>
      <c r="BO37" s="41"/>
      <c r="BP37" s="41">
        <v>5</v>
      </c>
      <c r="BQ37" s="63">
        <v>74.28</v>
      </c>
      <c r="BR37" s="63">
        <v>68.78</v>
      </c>
      <c r="BS37" s="41"/>
      <c r="BT37" s="41"/>
      <c r="BU37" s="41"/>
      <c r="BV37" s="41"/>
      <c r="BW37" s="41"/>
      <c r="BX37" s="41"/>
      <c r="BY37" s="41"/>
      <c r="BZ37" s="41">
        <v>1</v>
      </c>
      <c r="CA37" s="41">
        <v>9</v>
      </c>
      <c r="CB37" s="63">
        <v>129.22</v>
      </c>
      <c r="CC37" s="41"/>
      <c r="CD37" s="41"/>
      <c r="CE37" s="41"/>
      <c r="CF37" s="43"/>
    </row>
    <row r="38" spans="1:84" x14ac:dyDescent="0.35">
      <c r="A38" s="42">
        <v>352613</v>
      </c>
      <c r="B38" s="61">
        <v>44200</v>
      </c>
      <c r="C38" s="61">
        <v>44200</v>
      </c>
      <c r="D38" s="39">
        <v>81</v>
      </c>
      <c r="E38" s="64">
        <v>267.89999999999998</v>
      </c>
      <c r="F38" s="64">
        <v>1307.98</v>
      </c>
      <c r="G38" s="64">
        <v>477.42</v>
      </c>
      <c r="H38" s="64">
        <v>460.3</v>
      </c>
      <c r="I38" s="64">
        <v>112.99</v>
      </c>
      <c r="J38" s="64">
        <v>2479.7600000000002</v>
      </c>
      <c r="K38" s="64">
        <v>276.41000000000003</v>
      </c>
      <c r="L38" s="39">
        <v>543</v>
      </c>
      <c r="M38" s="64">
        <v>282.79000000000002</v>
      </c>
      <c r="N38" s="64">
        <v>2564.1999999999998</v>
      </c>
      <c r="O38" s="39">
        <v>1</v>
      </c>
      <c r="P38" s="64">
        <v>5.97</v>
      </c>
      <c r="Q38" s="39">
        <v>6</v>
      </c>
      <c r="R38" s="64">
        <v>6.29</v>
      </c>
      <c r="S38" s="39">
        <v>22</v>
      </c>
      <c r="T38" s="64">
        <v>34.03</v>
      </c>
      <c r="U38" s="64">
        <v>44.53</v>
      </c>
      <c r="V38" s="39">
        <v>2</v>
      </c>
      <c r="W38" s="64">
        <v>25</v>
      </c>
      <c r="X38" s="39">
        <v>18</v>
      </c>
      <c r="Y38" s="64">
        <v>0</v>
      </c>
      <c r="Z38" s="39">
        <v>98</v>
      </c>
      <c r="AA38" s="64">
        <v>303.58999999999997</v>
      </c>
      <c r="AB38" s="39">
        <v>24</v>
      </c>
      <c r="AC38" s="64">
        <v>55.58</v>
      </c>
      <c r="AD38" s="39">
        <v>6</v>
      </c>
      <c r="AE38" s="64">
        <v>14.03</v>
      </c>
      <c r="AF38" s="64">
        <v>0</v>
      </c>
      <c r="AG38" s="64">
        <v>0</v>
      </c>
      <c r="AH38" s="64">
        <v>0</v>
      </c>
      <c r="AI38" s="64">
        <v>0</v>
      </c>
      <c r="AJ38" s="64">
        <v>220.75</v>
      </c>
      <c r="AK38" s="39"/>
      <c r="AL38" s="64">
        <v>2756.17</v>
      </c>
      <c r="AM38" s="64">
        <v>0</v>
      </c>
      <c r="AN38" s="64">
        <v>842</v>
      </c>
      <c r="AO38" s="64">
        <v>7.1</v>
      </c>
      <c r="AP38" s="64">
        <v>0.4</v>
      </c>
      <c r="AQ38" s="39">
        <v>55</v>
      </c>
      <c r="AR38" s="64">
        <v>327.14</v>
      </c>
      <c r="AS38" s="39">
        <v>221</v>
      </c>
      <c r="AT38" s="64">
        <v>1351.15</v>
      </c>
      <c r="AU38" s="39">
        <v>14</v>
      </c>
      <c r="AV38" s="64">
        <v>69.510000000000005</v>
      </c>
      <c r="AW38" s="39">
        <v>1</v>
      </c>
      <c r="AX38" s="64">
        <v>11.58</v>
      </c>
      <c r="AY38" s="39">
        <v>44</v>
      </c>
      <c r="AZ38" s="64">
        <v>188.84</v>
      </c>
      <c r="BA38" s="39"/>
      <c r="BB38" s="39"/>
      <c r="BC38" s="39"/>
      <c r="BD38" s="39"/>
      <c r="BE38" s="39">
        <v>12</v>
      </c>
      <c r="BF38" s="64">
        <v>65.06</v>
      </c>
      <c r="BG38" s="39"/>
      <c r="BH38" s="39"/>
      <c r="BI38" s="39"/>
      <c r="BJ38" s="39"/>
      <c r="BK38" s="39">
        <v>7</v>
      </c>
      <c r="BL38" s="64">
        <v>32.880000000000003</v>
      </c>
      <c r="BM38" s="39">
        <v>1</v>
      </c>
      <c r="BN38" s="64">
        <v>26.32</v>
      </c>
      <c r="BO38" s="64">
        <v>24.37</v>
      </c>
      <c r="BP38" s="39">
        <v>5</v>
      </c>
      <c r="BQ38" s="64">
        <v>54.95</v>
      </c>
      <c r="BR38" s="64">
        <v>50.88</v>
      </c>
      <c r="BS38" s="39"/>
      <c r="BT38" s="39"/>
      <c r="BU38" s="39"/>
      <c r="BV38" s="39"/>
      <c r="BW38" s="39"/>
      <c r="BX38" s="39"/>
      <c r="BY38" s="39"/>
      <c r="BZ38" s="39">
        <v>1</v>
      </c>
      <c r="CA38" s="39">
        <v>3</v>
      </c>
      <c r="CB38" s="64">
        <v>25.79</v>
      </c>
      <c r="CC38" s="39"/>
      <c r="CD38" s="39"/>
      <c r="CE38" s="39"/>
      <c r="CF38" s="44"/>
    </row>
    <row r="39" spans="1:84" x14ac:dyDescent="0.35">
      <c r="A39" s="40">
        <v>352613</v>
      </c>
      <c r="B39" s="62">
        <v>44203</v>
      </c>
      <c r="C39" s="62">
        <v>44203</v>
      </c>
      <c r="D39" s="41">
        <v>97</v>
      </c>
      <c r="E39" s="41">
        <v>334.03</v>
      </c>
      <c r="F39" s="41">
        <v>1733.53</v>
      </c>
      <c r="G39" s="41">
        <v>501.77</v>
      </c>
      <c r="H39" s="41">
        <v>696.36</v>
      </c>
      <c r="I39" s="41">
        <v>202.85</v>
      </c>
      <c r="J39" s="41">
        <v>3230.6099999999997</v>
      </c>
      <c r="K39" s="41">
        <v>199.13</v>
      </c>
      <c r="L39" s="41">
        <v>646</v>
      </c>
      <c r="M39" s="41">
        <v>203.10999999999999</v>
      </c>
      <c r="N39" s="41">
        <v>3406.93</v>
      </c>
      <c r="O39" s="41">
        <v>2</v>
      </c>
      <c r="P39" s="41">
        <v>9.18</v>
      </c>
      <c r="Q39" s="41"/>
      <c r="R39" s="41">
        <v>180.29999999999998</v>
      </c>
      <c r="S39" s="41"/>
      <c r="T39" s="41"/>
      <c r="U39" s="41"/>
      <c r="V39" s="41">
        <v>1</v>
      </c>
      <c r="W39" s="41">
        <v>5</v>
      </c>
      <c r="X39" s="41">
        <v>0</v>
      </c>
      <c r="Y39" s="41">
        <v>0</v>
      </c>
      <c r="Z39" s="41">
        <v>121</v>
      </c>
      <c r="AA39" s="41">
        <v>232.35</v>
      </c>
      <c r="AB39" s="41">
        <v>35</v>
      </c>
      <c r="AC39" s="41">
        <v>1163.5999999999999</v>
      </c>
      <c r="AD39" s="41">
        <v>43</v>
      </c>
      <c r="AE39" s="41">
        <v>99.98</v>
      </c>
      <c r="AF39" s="41"/>
      <c r="AG39" s="41"/>
      <c r="AH39" s="41">
        <v>0</v>
      </c>
      <c r="AI39" s="41"/>
      <c r="AJ39" s="41">
        <v>274.64</v>
      </c>
      <c r="AK39" s="41"/>
      <c r="AL39" s="41"/>
      <c r="AM39" s="41"/>
      <c r="AN39" s="41">
        <v>979</v>
      </c>
      <c r="AO39" s="41">
        <v>0</v>
      </c>
      <c r="AP39" s="41">
        <v>2.4600000000000364</v>
      </c>
      <c r="AQ39" s="41">
        <v>54</v>
      </c>
      <c r="AR39" s="41">
        <v>376.19</v>
      </c>
      <c r="AS39" s="41">
        <v>264</v>
      </c>
      <c r="AT39" s="41">
        <v>1645.71</v>
      </c>
      <c r="AU39" s="41">
        <v>18</v>
      </c>
      <c r="AV39" s="41">
        <v>146.37</v>
      </c>
      <c r="AW39" s="41">
        <v>7</v>
      </c>
      <c r="AX39" s="41">
        <v>38.200000000000003</v>
      </c>
      <c r="AY39" s="41">
        <v>89</v>
      </c>
      <c r="AZ39" s="41">
        <v>322.43</v>
      </c>
      <c r="BA39" s="41"/>
      <c r="BB39" s="41"/>
      <c r="BC39" s="41"/>
      <c r="BD39" s="41"/>
      <c r="BE39" s="41"/>
      <c r="BF39" s="41"/>
      <c r="BG39" s="41"/>
      <c r="BH39" s="41"/>
      <c r="BI39" s="41"/>
      <c r="BJ39" s="41"/>
      <c r="BK39" s="41"/>
      <c r="BL39" s="41"/>
      <c r="BM39" s="41"/>
      <c r="BN39" s="41"/>
      <c r="BO39" s="41"/>
      <c r="BP39" s="41">
        <v>3</v>
      </c>
      <c r="BQ39" s="41">
        <v>36.61</v>
      </c>
      <c r="BR39" s="41">
        <v>68.260000000000005</v>
      </c>
      <c r="BS39" s="41">
        <v>3429.74</v>
      </c>
      <c r="BT39" s="41"/>
      <c r="BU39" s="41"/>
      <c r="BV39" s="41">
        <v>8.1599999999998545</v>
      </c>
      <c r="BW39" s="41">
        <v>8.16</v>
      </c>
      <c r="BX39" s="41"/>
      <c r="BY39" s="41"/>
      <c r="BZ39" s="41">
        <v>0</v>
      </c>
      <c r="CA39" s="41">
        <v>10</v>
      </c>
      <c r="CB39" s="41">
        <v>128.61000000000001</v>
      </c>
      <c r="CC39" s="41"/>
      <c r="CD39" s="41"/>
      <c r="CE39" s="41">
        <v>1</v>
      </c>
      <c r="CF39" s="43">
        <v>38.869999999999997</v>
      </c>
    </row>
    <row r="40" spans="1:84" x14ac:dyDescent="0.35">
      <c r="A40" s="42">
        <v>352613</v>
      </c>
      <c r="B40" s="61">
        <v>44204</v>
      </c>
      <c r="C40" s="61">
        <v>44204</v>
      </c>
      <c r="D40" s="39">
        <v>115</v>
      </c>
      <c r="E40" s="39">
        <v>405.95</v>
      </c>
      <c r="F40" s="39">
        <v>1866.1899999999998</v>
      </c>
      <c r="G40" s="39">
        <v>639.21</v>
      </c>
      <c r="H40" s="39">
        <v>655.76</v>
      </c>
      <c r="I40" s="39">
        <v>153.64000000000001</v>
      </c>
      <c r="J40" s="39">
        <v>3483.87</v>
      </c>
      <c r="K40" s="39">
        <v>309.92999999999995</v>
      </c>
      <c r="L40" s="39">
        <v>673</v>
      </c>
      <c r="M40" s="39">
        <v>319.10999999999996</v>
      </c>
      <c r="N40" s="39">
        <v>3624.49</v>
      </c>
      <c r="O40" s="39">
        <v>3</v>
      </c>
      <c r="P40" s="39">
        <v>14.97</v>
      </c>
      <c r="Q40" s="39"/>
      <c r="R40" s="39">
        <v>149.80000000000001</v>
      </c>
      <c r="S40" s="39"/>
      <c r="T40" s="39"/>
      <c r="U40" s="39"/>
      <c r="V40" s="39">
        <v>1</v>
      </c>
      <c r="W40" s="39">
        <v>10</v>
      </c>
      <c r="X40" s="39">
        <v>0</v>
      </c>
      <c r="Y40" s="39">
        <v>0</v>
      </c>
      <c r="Z40" s="39">
        <v>115</v>
      </c>
      <c r="AA40" s="39">
        <v>492.45</v>
      </c>
      <c r="AB40" s="39">
        <v>17</v>
      </c>
      <c r="AC40" s="39">
        <v>49.16</v>
      </c>
      <c r="AD40" s="39">
        <v>91</v>
      </c>
      <c r="AE40" s="39">
        <v>98.62</v>
      </c>
      <c r="AF40" s="39"/>
      <c r="AG40" s="39"/>
      <c r="AH40" s="39">
        <v>0</v>
      </c>
      <c r="AI40" s="39"/>
      <c r="AJ40" s="39">
        <v>303.93</v>
      </c>
      <c r="AK40" s="39"/>
      <c r="AL40" s="39"/>
      <c r="AM40" s="39"/>
      <c r="AN40" s="39">
        <v>570</v>
      </c>
      <c r="AO40" s="39">
        <v>0</v>
      </c>
      <c r="AP40" s="39">
        <v>-368.1</v>
      </c>
      <c r="AQ40" s="39">
        <v>67</v>
      </c>
      <c r="AR40" s="39">
        <v>441.13</v>
      </c>
      <c r="AS40" s="39">
        <v>296</v>
      </c>
      <c r="AT40" s="39">
        <v>2058.9899999999998</v>
      </c>
      <c r="AU40" s="39">
        <v>25</v>
      </c>
      <c r="AV40" s="39">
        <v>183.64</v>
      </c>
      <c r="AW40" s="39">
        <v>5</v>
      </c>
      <c r="AX40" s="39">
        <v>34.840000000000003</v>
      </c>
      <c r="AY40" s="39">
        <v>80</v>
      </c>
      <c r="AZ40" s="39">
        <v>315.02</v>
      </c>
      <c r="BA40" s="39"/>
      <c r="BB40" s="39"/>
      <c r="BC40" s="39"/>
      <c r="BD40" s="39"/>
      <c r="BE40" s="39"/>
      <c r="BF40" s="39"/>
      <c r="BG40" s="39"/>
      <c r="BH40" s="39"/>
      <c r="BI40" s="39"/>
      <c r="BJ40" s="39"/>
      <c r="BK40" s="39"/>
      <c r="BL40" s="39"/>
      <c r="BM40" s="39"/>
      <c r="BN40" s="39"/>
      <c r="BO40" s="39"/>
      <c r="BP40" s="39">
        <v>8</v>
      </c>
      <c r="BQ40" s="39">
        <v>98.35</v>
      </c>
      <c r="BR40" s="39">
        <v>83.29</v>
      </c>
      <c r="BS40" s="39">
        <v>3793.8</v>
      </c>
      <c r="BT40" s="39"/>
      <c r="BU40" s="39"/>
      <c r="BV40" s="39">
        <v>0</v>
      </c>
      <c r="BW40" s="39">
        <v>0</v>
      </c>
      <c r="BX40" s="39"/>
      <c r="BY40" s="39"/>
      <c r="BZ40" s="39"/>
      <c r="CA40" s="39">
        <v>3</v>
      </c>
      <c r="CB40" s="39">
        <v>37.659999999999997</v>
      </c>
      <c r="CC40" s="39"/>
      <c r="CD40" s="39"/>
      <c r="CE40" s="39"/>
      <c r="CF40" s="44"/>
    </row>
    <row r="41" spans="1:84" x14ac:dyDescent="0.35">
      <c r="A41" s="40">
        <v>352613</v>
      </c>
      <c r="B41" s="62">
        <v>44205</v>
      </c>
      <c r="C41" s="62">
        <v>44205</v>
      </c>
      <c r="D41" s="41">
        <v>127</v>
      </c>
      <c r="E41" s="41">
        <v>439.13</v>
      </c>
      <c r="F41" s="41">
        <v>1879.6600000000003</v>
      </c>
      <c r="G41" s="41">
        <v>747.34</v>
      </c>
      <c r="H41" s="41">
        <v>789.22</v>
      </c>
      <c r="I41" s="41">
        <v>154.22999999999999</v>
      </c>
      <c r="J41" s="41">
        <v>3711.22</v>
      </c>
      <c r="K41" s="41">
        <v>304.34000000000003</v>
      </c>
      <c r="L41" s="41">
        <v>650</v>
      </c>
      <c r="M41" s="41">
        <v>311.62</v>
      </c>
      <c r="N41" s="41">
        <v>3866.5099999999998</v>
      </c>
      <c r="O41" s="41">
        <v>6</v>
      </c>
      <c r="P41" s="41">
        <v>3.58</v>
      </c>
      <c r="Q41" s="41"/>
      <c r="R41" s="41">
        <v>162.57000000000002</v>
      </c>
      <c r="S41" s="41"/>
      <c r="T41" s="41"/>
      <c r="U41" s="41"/>
      <c r="V41" s="41">
        <v>1</v>
      </c>
      <c r="W41" s="41">
        <v>10</v>
      </c>
      <c r="X41" s="41">
        <v>0</v>
      </c>
      <c r="Y41" s="41">
        <v>0</v>
      </c>
      <c r="Z41" s="41">
        <v>147</v>
      </c>
      <c r="AA41" s="41">
        <v>391.58</v>
      </c>
      <c r="AB41" s="41">
        <v>14</v>
      </c>
      <c r="AC41" s="41">
        <v>53.75</v>
      </c>
      <c r="AD41" s="41">
        <v>89</v>
      </c>
      <c r="AE41" s="41">
        <v>108.42</v>
      </c>
      <c r="AF41" s="41"/>
      <c r="AG41" s="41"/>
      <c r="AH41" s="41">
        <v>0</v>
      </c>
      <c r="AI41" s="41"/>
      <c r="AJ41" s="41">
        <v>321.69</v>
      </c>
      <c r="AK41" s="41"/>
      <c r="AL41" s="41"/>
      <c r="AM41" s="41"/>
      <c r="AN41" s="41">
        <v>1032</v>
      </c>
      <c r="AO41" s="41">
        <v>0</v>
      </c>
      <c r="AP41" s="41">
        <v>-78.210000000000036</v>
      </c>
      <c r="AQ41" s="41">
        <v>85</v>
      </c>
      <c r="AR41" s="41">
        <v>664.26</v>
      </c>
      <c r="AS41" s="41">
        <v>250</v>
      </c>
      <c r="AT41" s="41">
        <v>1762.31</v>
      </c>
      <c r="AU41" s="41">
        <v>14</v>
      </c>
      <c r="AV41" s="41">
        <v>98.21</v>
      </c>
      <c r="AW41" s="41">
        <v>4</v>
      </c>
      <c r="AX41" s="41">
        <v>32.979999999999997</v>
      </c>
      <c r="AY41" s="41">
        <v>98</v>
      </c>
      <c r="AZ41" s="41">
        <v>471.66</v>
      </c>
      <c r="BA41" s="41"/>
      <c r="BB41" s="41"/>
      <c r="BC41" s="41"/>
      <c r="BD41" s="41"/>
      <c r="BE41" s="41"/>
      <c r="BF41" s="41"/>
      <c r="BG41" s="41"/>
      <c r="BH41" s="41"/>
      <c r="BI41" s="41"/>
      <c r="BJ41" s="41"/>
      <c r="BK41" s="41"/>
      <c r="BL41" s="41"/>
      <c r="BM41" s="41"/>
      <c r="BN41" s="41"/>
      <c r="BO41" s="41"/>
      <c r="BP41" s="41">
        <v>4</v>
      </c>
      <c r="BQ41" s="41">
        <v>58.31</v>
      </c>
      <c r="BR41" s="41">
        <v>53.99</v>
      </c>
      <c r="BS41" s="41">
        <v>4007.48</v>
      </c>
      <c r="BT41" s="41"/>
      <c r="BU41" s="41"/>
      <c r="BV41" s="41">
        <v>20.669999999999163</v>
      </c>
      <c r="BW41" s="41">
        <v>12.48</v>
      </c>
      <c r="BX41" s="41"/>
      <c r="BY41" s="41"/>
      <c r="BZ41" s="41"/>
      <c r="CA41" s="41">
        <v>7</v>
      </c>
      <c r="CB41" s="41">
        <v>74.25</v>
      </c>
      <c r="CC41" s="41">
        <v>2</v>
      </c>
      <c r="CD41" s="41">
        <v>29.07</v>
      </c>
      <c r="CE41" s="41">
        <v>1</v>
      </c>
      <c r="CF41" s="43">
        <v>37.799999999999997</v>
      </c>
    </row>
    <row r="42" spans="1:84" x14ac:dyDescent="0.35">
      <c r="A42" s="42">
        <v>352613</v>
      </c>
      <c r="B42" s="61">
        <v>44201</v>
      </c>
      <c r="C42" s="61">
        <v>44201</v>
      </c>
      <c r="D42" s="39">
        <v>85</v>
      </c>
      <c r="E42" s="39">
        <v>274.77999999999997</v>
      </c>
      <c r="F42" s="39">
        <v>1377.35</v>
      </c>
      <c r="G42" s="39">
        <v>503.25</v>
      </c>
      <c r="H42" s="39">
        <v>566.32000000000005</v>
      </c>
      <c r="I42" s="39">
        <v>139.43</v>
      </c>
      <c r="J42" s="39">
        <v>2785.35</v>
      </c>
      <c r="K42" s="39">
        <v>146.13</v>
      </c>
      <c r="L42" s="39">
        <v>528</v>
      </c>
      <c r="M42" s="39">
        <v>154.42000000000002</v>
      </c>
      <c r="N42" s="39">
        <v>2933.29</v>
      </c>
      <c r="O42" s="39">
        <v>1</v>
      </c>
      <c r="P42" s="39">
        <v>2.59</v>
      </c>
      <c r="Q42" s="39">
        <v>11</v>
      </c>
      <c r="R42" s="39">
        <v>40.690000000000005</v>
      </c>
      <c r="S42" s="39">
        <v>32</v>
      </c>
      <c r="T42" s="39">
        <v>58.03</v>
      </c>
      <c r="U42" s="39">
        <v>57.51</v>
      </c>
      <c r="V42" s="39">
        <v>1</v>
      </c>
      <c r="W42" s="39">
        <v>10</v>
      </c>
      <c r="X42" s="39">
        <v>11</v>
      </c>
      <c r="Y42" s="39">
        <v>0</v>
      </c>
      <c r="Z42" s="39">
        <v>95</v>
      </c>
      <c r="AA42" s="39">
        <v>415.78999999999996</v>
      </c>
      <c r="AB42" s="39">
        <v>39</v>
      </c>
      <c r="AC42" s="39">
        <v>118.02</v>
      </c>
      <c r="AD42" s="39">
        <v>13</v>
      </c>
      <c r="AE42" s="39">
        <v>20.05</v>
      </c>
      <c r="AF42" s="39">
        <v>0</v>
      </c>
      <c r="AG42" s="39">
        <v>0</v>
      </c>
      <c r="AH42" s="39">
        <v>0</v>
      </c>
      <c r="AI42" s="39">
        <v>0</v>
      </c>
      <c r="AJ42" s="39">
        <v>234.71</v>
      </c>
      <c r="AK42" s="39">
        <v>0</v>
      </c>
      <c r="AL42" s="39">
        <v>2439.9699999999998</v>
      </c>
      <c r="AM42" s="39">
        <v>0</v>
      </c>
      <c r="AN42" s="39">
        <v>65</v>
      </c>
      <c r="AO42" s="39">
        <v>0</v>
      </c>
      <c r="AP42" s="39">
        <v>-793.45</v>
      </c>
      <c r="AQ42" s="39">
        <v>61</v>
      </c>
      <c r="AR42" s="39">
        <v>446.21999999999997</v>
      </c>
      <c r="AS42" s="39">
        <v>188</v>
      </c>
      <c r="AT42" s="39">
        <v>1228.3999999999999</v>
      </c>
      <c r="AU42" s="39">
        <v>9</v>
      </c>
      <c r="AV42" s="39">
        <v>61.339999999999996</v>
      </c>
      <c r="AW42" s="39">
        <v>11</v>
      </c>
      <c r="AX42" s="39">
        <v>91.679999999999993</v>
      </c>
      <c r="AY42" s="39">
        <v>71</v>
      </c>
      <c r="AZ42" s="39">
        <v>220.52</v>
      </c>
      <c r="BA42" s="39">
        <v>1</v>
      </c>
      <c r="BB42" s="39">
        <v>5.59</v>
      </c>
      <c r="BC42" s="39">
        <v>0</v>
      </c>
      <c r="BD42" s="39">
        <v>0</v>
      </c>
      <c r="BE42" s="39">
        <v>5</v>
      </c>
      <c r="BF42" s="39">
        <v>27.22</v>
      </c>
      <c r="BG42" s="39">
        <v>1</v>
      </c>
      <c r="BH42" s="39">
        <v>4.96</v>
      </c>
      <c r="BI42" s="39">
        <v>0</v>
      </c>
      <c r="BJ42" s="39">
        <v>0</v>
      </c>
      <c r="BK42" s="39">
        <v>5</v>
      </c>
      <c r="BL42" s="39">
        <v>40.1</v>
      </c>
      <c r="BM42" s="39">
        <v>0</v>
      </c>
      <c r="BN42" s="39">
        <v>0</v>
      </c>
      <c r="BO42" s="39">
        <v>0</v>
      </c>
      <c r="BP42" s="39">
        <v>7</v>
      </c>
      <c r="BQ42" s="39">
        <v>68.75</v>
      </c>
      <c r="BR42" s="39">
        <v>54.16</v>
      </c>
      <c r="BS42" s="39">
        <v>492.51</v>
      </c>
      <c r="BT42" s="39">
        <v>0</v>
      </c>
      <c r="BU42" s="39">
        <v>0</v>
      </c>
      <c r="BV42" s="39">
        <v>0</v>
      </c>
      <c r="BW42" s="39">
        <v>0</v>
      </c>
      <c r="BX42" s="39">
        <v>0</v>
      </c>
      <c r="BY42" s="39">
        <v>0</v>
      </c>
      <c r="BZ42" s="39">
        <v>0</v>
      </c>
      <c r="CA42" s="39">
        <v>6</v>
      </c>
      <c r="CB42" s="39">
        <v>122.96</v>
      </c>
      <c r="CC42" s="39">
        <v>0</v>
      </c>
      <c r="CD42" s="39">
        <v>0</v>
      </c>
      <c r="CE42" s="39">
        <v>0</v>
      </c>
      <c r="CF42" s="44">
        <v>0</v>
      </c>
    </row>
    <row r="43" spans="1:84" x14ac:dyDescent="0.35">
      <c r="A43" s="40">
        <v>352613</v>
      </c>
      <c r="B43" s="62">
        <v>44202</v>
      </c>
      <c r="C43" s="62">
        <v>44202</v>
      </c>
      <c r="D43" s="41">
        <v>128</v>
      </c>
      <c r="E43" s="41">
        <v>455.38</v>
      </c>
      <c r="F43" s="41">
        <v>1887.69</v>
      </c>
      <c r="G43" s="41">
        <v>584.26</v>
      </c>
      <c r="H43" s="41">
        <v>851.44</v>
      </c>
      <c r="I43" s="41">
        <v>210.47</v>
      </c>
      <c r="J43" s="41">
        <v>3602.9000000000005</v>
      </c>
      <c r="K43" s="41">
        <v>212.49</v>
      </c>
      <c r="L43" s="41">
        <v>730</v>
      </c>
      <c r="M43" s="41">
        <v>216.82</v>
      </c>
      <c r="N43" s="41">
        <v>3764.8900000000003</v>
      </c>
      <c r="O43" s="41">
        <v>3</v>
      </c>
      <c r="P43" s="41">
        <v>47.97</v>
      </c>
      <c r="Q43" s="41">
        <v>3</v>
      </c>
      <c r="R43" s="41">
        <v>153.18</v>
      </c>
      <c r="S43" s="41">
        <v>5</v>
      </c>
      <c r="T43" s="41">
        <v>9.58</v>
      </c>
      <c r="U43" s="41">
        <v>3.56</v>
      </c>
      <c r="V43" s="41">
        <v>2</v>
      </c>
      <c r="W43" s="41">
        <v>35</v>
      </c>
      <c r="X43" s="41">
        <v>1</v>
      </c>
      <c r="Y43" s="41">
        <v>0</v>
      </c>
      <c r="Z43" s="41">
        <v>137</v>
      </c>
      <c r="AA43" s="41">
        <v>201.51999999999998</v>
      </c>
      <c r="AB43" s="41">
        <v>25</v>
      </c>
      <c r="AC43" s="41">
        <v>166.76999999999998</v>
      </c>
      <c r="AD43" s="41">
        <v>105</v>
      </c>
      <c r="AE43" s="41">
        <v>138.38</v>
      </c>
      <c r="AF43" s="41">
        <v>0</v>
      </c>
      <c r="AG43" s="41">
        <v>0</v>
      </c>
      <c r="AH43" s="41">
        <v>0</v>
      </c>
      <c r="AI43" s="41">
        <v>0</v>
      </c>
      <c r="AJ43" s="41">
        <v>269.23</v>
      </c>
      <c r="AK43" s="41">
        <v>0</v>
      </c>
      <c r="AL43" s="41">
        <v>454.07</v>
      </c>
      <c r="AM43" s="41">
        <v>0</v>
      </c>
      <c r="AN43" s="41">
        <v>1041</v>
      </c>
      <c r="AO43" s="41">
        <v>0</v>
      </c>
      <c r="AP43" s="41">
        <v>48.960000000000036</v>
      </c>
      <c r="AQ43" s="41">
        <v>85</v>
      </c>
      <c r="AR43" s="41">
        <v>534.73</v>
      </c>
      <c r="AS43" s="41">
        <v>285</v>
      </c>
      <c r="AT43" s="41">
        <v>1664.9699999999998</v>
      </c>
      <c r="AU43" s="41">
        <v>15</v>
      </c>
      <c r="AV43" s="41">
        <v>79.009999999999991</v>
      </c>
      <c r="AW43" s="41">
        <v>9</v>
      </c>
      <c r="AX43" s="41">
        <v>46.25</v>
      </c>
      <c r="AY43" s="41">
        <v>103</v>
      </c>
      <c r="AZ43" s="41">
        <v>430.2</v>
      </c>
      <c r="BA43" s="41">
        <v>0</v>
      </c>
      <c r="BB43" s="41">
        <v>0</v>
      </c>
      <c r="BC43" s="41">
        <v>0</v>
      </c>
      <c r="BD43" s="41">
        <v>0</v>
      </c>
      <c r="BE43" s="41">
        <v>0</v>
      </c>
      <c r="BF43" s="41">
        <v>0</v>
      </c>
      <c r="BG43" s="41">
        <v>0</v>
      </c>
      <c r="BH43" s="41">
        <v>0</v>
      </c>
      <c r="BI43" s="41">
        <v>0</v>
      </c>
      <c r="BJ43" s="41">
        <v>0</v>
      </c>
      <c r="BK43" s="41">
        <v>0</v>
      </c>
      <c r="BL43" s="41">
        <v>0</v>
      </c>
      <c r="BM43" s="41">
        <v>0</v>
      </c>
      <c r="BN43" s="41">
        <v>0</v>
      </c>
      <c r="BO43" s="41">
        <v>0</v>
      </c>
      <c r="BP43" s="41">
        <v>9</v>
      </c>
      <c r="BQ43" s="41">
        <v>100.52</v>
      </c>
      <c r="BR43" s="41">
        <v>118.71000000000001</v>
      </c>
      <c r="BS43" s="41">
        <v>3361.32</v>
      </c>
      <c r="BT43" s="41">
        <v>0</v>
      </c>
      <c r="BU43" s="41">
        <v>0</v>
      </c>
      <c r="BV43" s="41">
        <v>9.8000000000001819</v>
      </c>
      <c r="BW43" s="41">
        <v>9.8000000000000007</v>
      </c>
      <c r="BX43" s="41">
        <v>0</v>
      </c>
      <c r="BY43" s="41">
        <v>0</v>
      </c>
      <c r="BZ43" s="41">
        <v>0</v>
      </c>
      <c r="CA43" s="41">
        <v>3</v>
      </c>
      <c r="CB43" s="41">
        <v>32.49</v>
      </c>
      <c r="CC43" s="41">
        <v>0</v>
      </c>
      <c r="CD43" s="41">
        <v>0</v>
      </c>
      <c r="CE43" s="41">
        <v>1</v>
      </c>
      <c r="CF43" s="43">
        <v>6.46</v>
      </c>
    </row>
    <row r="44" spans="1:84" x14ac:dyDescent="0.35">
      <c r="A44" s="40">
        <v>352613</v>
      </c>
      <c r="B44" s="62">
        <v>44199</v>
      </c>
      <c r="C44" s="62">
        <v>44205</v>
      </c>
      <c r="D44">
        <f>SUM(D37:D43)</f>
        <v>739</v>
      </c>
      <c r="E44">
        <f t="shared" ref="E44:BP44" si="10">SUM(E37:E43)</f>
        <v>2503.08</v>
      </c>
      <c r="F44">
        <f t="shared" si="10"/>
        <v>11367.28</v>
      </c>
      <c r="G44">
        <f t="shared" si="10"/>
        <v>4090.5</v>
      </c>
      <c r="H44">
        <f t="shared" si="10"/>
        <v>4592.7300000000005</v>
      </c>
      <c r="I44">
        <f t="shared" si="10"/>
        <v>1064.98</v>
      </c>
      <c r="J44">
        <f t="shared" si="10"/>
        <v>22047.59</v>
      </c>
      <c r="K44">
        <f t="shared" si="10"/>
        <v>1833.07</v>
      </c>
      <c r="L44">
        <f t="shared" si="10"/>
        <v>4251</v>
      </c>
      <c r="M44">
        <f t="shared" si="10"/>
        <v>1883.4599999999998</v>
      </c>
      <c r="N44">
        <f t="shared" si="10"/>
        <v>23018.39</v>
      </c>
      <c r="O44">
        <f t="shared" si="10"/>
        <v>17</v>
      </c>
      <c r="P44">
        <f t="shared" si="10"/>
        <v>94.72</v>
      </c>
      <c r="Q44">
        <f t="shared" si="10"/>
        <v>31</v>
      </c>
      <c r="R44">
        <f t="shared" si="10"/>
        <v>697.84000000000015</v>
      </c>
      <c r="S44">
        <f t="shared" si="10"/>
        <v>87</v>
      </c>
      <c r="T44">
        <f t="shared" si="10"/>
        <v>151.55000000000001</v>
      </c>
      <c r="U44">
        <f t="shared" si="10"/>
        <v>155.37</v>
      </c>
      <c r="V44">
        <f t="shared" si="10"/>
        <v>8</v>
      </c>
      <c r="W44">
        <f t="shared" si="10"/>
        <v>95</v>
      </c>
      <c r="X44">
        <f t="shared" si="10"/>
        <v>49</v>
      </c>
      <c r="Y44">
        <f t="shared" si="10"/>
        <v>0</v>
      </c>
      <c r="Z44">
        <f t="shared" si="10"/>
        <v>777</v>
      </c>
      <c r="AA44">
        <f t="shared" si="10"/>
        <v>2221.7299999999996</v>
      </c>
      <c r="AB44">
        <f t="shared" si="10"/>
        <v>164</v>
      </c>
      <c r="AC44">
        <f t="shared" si="10"/>
        <v>1633.29</v>
      </c>
      <c r="AD44">
        <f t="shared" si="10"/>
        <v>347</v>
      </c>
      <c r="AE44">
        <f t="shared" si="10"/>
        <v>479.48</v>
      </c>
      <c r="AF44">
        <f t="shared" si="10"/>
        <v>0</v>
      </c>
      <c r="AG44">
        <f t="shared" si="10"/>
        <v>0</v>
      </c>
      <c r="AH44">
        <f t="shared" si="10"/>
        <v>0</v>
      </c>
      <c r="AI44">
        <f t="shared" si="10"/>
        <v>0</v>
      </c>
      <c r="AJ44">
        <f t="shared" si="10"/>
        <v>1876.16</v>
      </c>
      <c r="AK44">
        <f t="shared" si="10"/>
        <v>0</v>
      </c>
      <c r="AL44">
        <f t="shared" si="10"/>
        <v>8788.73</v>
      </c>
      <c r="AM44">
        <f t="shared" si="10"/>
        <v>0</v>
      </c>
      <c r="AN44">
        <f t="shared" si="10"/>
        <v>5169</v>
      </c>
      <c r="AO44">
        <f t="shared" si="10"/>
        <v>7.1</v>
      </c>
      <c r="AP44">
        <f t="shared" si="10"/>
        <v>-1542.24</v>
      </c>
      <c r="AQ44">
        <f t="shared" si="10"/>
        <v>469</v>
      </c>
      <c r="AR44">
        <f t="shared" si="10"/>
        <v>3248.0699999999997</v>
      </c>
      <c r="AS44">
        <f t="shared" si="10"/>
        <v>1682</v>
      </c>
      <c r="AT44">
        <f t="shared" si="10"/>
        <v>10980.699999999999</v>
      </c>
      <c r="AU44">
        <f t="shared" si="10"/>
        <v>108</v>
      </c>
      <c r="AV44">
        <f t="shared" si="10"/>
        <v>733.03000000000009</v>
      </c>
      <c r="AW44">
        <f t="shared" si="10"/>
        <v>41</v>
      </c>
      <c r="AX44">
        <f t="shared" si="10"/>
        <v>281.37</v>
      </c>
      <c r="AY44">
        <f t="shared" si="10"/>
        <v>527</v>
      </c>
      <c r="AZ44">
        <f t="shared" si="10"/>
        <v>2203.5300000000002</v>
      </c>
      <c r="BA44">
        <f t="shared" si="10"/>
        <v>2</v>
      </c>
      <c r="BB44">
        <f t="shared" si="10"/>
        <v>10.54</v>
      </c>
      <c r="BC44">
        <f t="shared" si="10"/>
        <v>1</v>
      </c>
      <c r="BD44">
        <f t="shared" si="10"/>
        <v>2.16</v>
      </c>
      <c r="BE44">
        <f t="shared" si="10"/>
        <v>22</v>
      </c>
      <c r="BF44">
        <f t="shared" si="10"/>
        <v>123.6</v>
      </c>
      <c r="BG44">
        <f t="shared" si="10"/>
        <v>4</v>
      </c>
      <c r="BH44">
        <f t="shared" si="10"/>
        <v>22.34</v>
      </c>
      <c r="BI44">
        <f t="shared" si="10"/>
        <v>0</v>
      </c>
      <c r="BJ44">
        <f t="shared" si="10"/>
        <v>0</v>
      </c>
      <c r="BK44">
        <f t="shared" si="10"/>
        <v>18</v>
      </c>
      <c r="BL44">
        <f t="shared" si="10"/>
        <v>105.88</v>
      </c>
      <c r="BM44">
        <f t="shared" si="10"/>
        <v>1</v>
      </c>
      <c r="BN44">
        <f t="shared" si="10"/>
        <v>26.32</v>
      </c>
      <c r="BO44">
        <f t="shared" si="10"/>
        <v>24.37</v>
      </c>
      <c r="BP44">
        <f t="shared" si="10"/>
        <v>41</v>
      </c>
      <c r="BQ44">
        <f t="shared" ref="BQ44:CF44" si="11">SUM(BQ37:BQ43)</f>
        <v>491.77000000000004</v>
      </c>
      <c r="BR44">
        <f t="shared" si="11"/>
        <v>498.07000000000005</v>
      </c>
      <c r="BS44">
        <f t="shared" si="11"/>
        <v>15084.85</v>
      </c>
      <c r="BT44">
        <f t="shared" si="11"/>
        <v>0</v>
      </c>
      <c r="BU44">
        <f t="shared" si="11"/>
        <v>0</v>
      </c>
      <c r="BV44">
        <f t="shared" si="11"/>
        <v>38.6299999999992</v>
      </c>
      <c r="BW44">
        <f t="shared" si="11"/>
        <v>30.44</v>
      </c>
      <c r="BX44">
        <f t="shared" si="11"/>
        <v>0</v>
      </c>
      <c r="BY44">
        <f t="shared" si="11"/>
        <v>0</v>
      </c>
      <c r="BZ44">
        <f t="shared" si="11"/>
        <v>2</v>
      </c>
      <c r="CA44">
        <f t="shared" si="11"/>
        <v>41</v>
      </c>
      <c r="CB44">
        <f t="shared" si="11"/>
        <v>550.98</v>
      </c>
      <c r="CC44">
        <f t="shared" si="11"/>
        <v>2</v>
      </c>
      <c r="CD44">
        <f t="shared" si="11"/>
        <v>29.07</v>
      </c>
      <c r="CE44">
        <f t="shared" si="11"/>
        <v>3</v>
      </c>
      <c r="CF44">
        <f t="shared" si="11"/>
        <v>83.129999999999981</v>
      </c>
    </row>
    <row r="49" spans="1:84" x14ac:dyDescent="0.35">
      <c r="A49" t="s">
        <v>138</v>
      </c>
    </row>
    <row r="50" spans="1:84" x14ac:dyDescent="0.35">
      <c r="A50" s="40" t="s">
        <v>135</v>
      </c>
      <c r="B50" s="62">
        <v>44220</v>
      </c>
      <c r="C50" s="62">
        <v>44226</v>
      </c>
      <c r="D50" s="41">
        <v>1049</v>
      </c>
      <c r="E50" s="63">
        <v>3365.82</v>
      </c>
      <c r="F50" s="63">
        <v>11101.61</v>
      </c>
      <c r="G50" s="63">
        <v>4616.46</v>
      </c>
      <c r="H50" s="63">
        <v>4871.7299999999996</v>
      </c>
      <c r="I50" s="63">
        <v>715.43</v>
      </c>
      <c r="J50" s="63">
        <v>22778.89</v>
      </c>
      <c r="K50" s="63">
        <v>0</v>
      </c>
      <c r="L50" s="41">
        <v>4089</v>
      </c>
      <c r="M50" s="63">
        <v>0</v>
      </c>
      <c r="N50" s="63">
        <v>23612.09</v>
      </c>
      <c r="O50" s="41">
        <v>4</v>
      </c>
      <c r="P50" s="63">
        <v>32.33</v>
      </c>
      <c r="Q50" s="41">
        <v>59</v>
      </c>
      <c r="R50" s="63">
        <v>43.37</v>
      </c>
      <c r="S50" s="41">
        <v>295</v>
      </c>
      <c r="T50" s="63">
        <v>541.09</v>
      </c>
      <c r="U50" s="63">
        <v>216.41</v>
      </c>
      <c r="V50" s="41">
        <v>39</v>
      </c>
      <c r="W50" s="63">
        <v>435</v>
      </c>
      <c r="X50" s="41">
        <v>92</v>
      </c>
      <c r="Y50" s="63">
        <v>0</v>
      </c>
      <c r="Z50" s="41">
        <v>529</v>
      </c>
      <c r="AA50" s="63">
        <v>1494.72</v>
      </c>
      <c r="AB50" s="41">
        <v>77</v>
      </c>
      <c r="AC50" s="63">
        <v>225.13</v>
      </c>
      <c r="AD50" s="41">
        <v>28</v>
      </c>
      <c r="AE50" s="63">
        <v>97.93</v>
      </c>
      <c r="AF50" s="63">
        <v>1.1000000000000001</v>
      </c>
      <c r="AG50" s="63">
        <v>1</v>
      </c>
      <c r="AH50" s="63">
        <v>0</v>
      </c>
      <c r="AI50" s="63">
        <v>0</v>
      </c>
      <c r="AJ50" s="63">
        <v>1475.81</v>
      </c>
      <c r="AK50" s="41"/>
      <c r="AL50" s="63">
        <v>22778.99</v>
      </c>
      <c r="AM50" s="63">
        <v>1</v>
      </c>
      <c r="AN50" s="63">
        <v>2724</v>
      </c>
      <c r="AO50" s="63">
        <v>417.3</v>
      </c>
      <c r="AP50" s="63">
        <v>-26.22</v>
      </c>
      <c r="AQ50" s="41">
        <v>596</v>
      </c>
      <c r="AR50" s="63">
        <v>4273.3999999999996</v>
      </c>
      <c r="AS50" s="41">
        <v>1683</v>
      </c>
      <c r="AT50" s="63">
        <v>11189.66</v>
      </c>
      <c r="AU50" s="41">
        <v>178</v>
      </c>
      <c r="AV50" s="63">
        <v>1275.05</v>
      </c>
      <c r="AW50" s="41">
        <v>50</v>
      </c>
      <c r="AX50" s="63">
        <v>349.37</v>
      </c>
      <c r="AY50" s="41">
        <v>361</v>
      </c>
      <c r="AZ50" s="63">
        <v>1605.29</v>
      </c>
      <c r="BA50" s="41">
        <v>16</v>
      </c>
      <c r="BB50" s="63">
        <v>136.49</v>
      </c>
      <c r="BC50" s="41">
        <v>12</v>
      </c>
      <c r="BD50" s="63">
        <v>57.31</v>
      </c>
      <c r="BE50" s="41">
        <v>79</v>
      </c>
      <c r="BF50" s="63">
        <v>453.94</v>
      </c>
      <c r="BG50" s="41">
        <v>20</v>
      </c>
      <c r="BH50" s="63">
        <v>67.53</v>
      </c>
      <c r="BI50" s="41"/>
      <c r="BJ50" s="41"/>
      <c r="BK50" s="41">
        <v>82</v>
      </c>
      <c r="BL50" s="63">
        <v>406</v>
      </c>
      <c r="BM50" s="41">
        <v>9</v>
      </c>
      <c r="BN50" s="63">
        <v>54.95</v>
      </c>
      <c r="BO50" s="63">
        <v>76.17</v>
      </c>
      <c r="BP50" s="41">
        <v>24</v>
      </c>
      <c r="BQ50" s="63">
        <v>389.93</v>
      </c>
      <c r="BR50" s="63">
        <v>357.66</v>
      </c>
      <c r="BS50" s="41"/>
      <c r="BT50" s="41"/>
      <c r="BU50" s="41"/>
      <c r="BV50" s="41"/>
      <c r="BW50" s="41"/>
      <c r="BX50" s="41"/>
      <c r="BY50" s="41"/>
      <c r="BZ50" s="41"/>
      <c r="CA50" s="41">
        <v>43</v>
      </c>
      <c r="CB50" s="63">
        <v>452.21</v>
      </c>
      <c r="CC50" s="41">
        <v>1</v>
      </c>
      <c r="CD50" s="63">
        <v>30.15</v>
      </c>
      <c r="CE50" s="41"/>
      <c r="CF50" s="43"/>
    </row>
    <row r="51" spans="1:84" x14ac:dyDescent="0.35">
      <c r="A51" s="42" t="s">
        <v>134</v>
      </c>
      <c r="B51" s="61">
        <v>44220</v>
      </c>
      <c r="C51" s="61">
        <v>44226</v>
      </c>
      <c r="D51" s="39">
        <v>201</v>
      </c>
      <c r="E51" s="39">
        <v>730.69</v>
      </c>
      <c r="F51" s="39">
        <v>2230.2699999999995</v>
      </c>
      <c r="G51" s="39">
        <v>771.25</v>
      </c>
      <c r="H51" s="39">
        <v>1047.3599999999999</v>
      </c>
      <c r="I51" s="39">
        <v>180.47</v>
      </c>
      <c r="J51" s="39">
        <v>4507.6099999999997</v>
      </c>
      <c r="K51" s="39"/>
      <c r="L51" s="39">
        <v>706</v>
      </c>
      <c r="M51" s="39"/>
      <c r="N51" s="39">
        <v>4624.74</v>
      </c>
      <c r="O51" s="39">
        <v>17</v>
      </c>
      <c r="P51" s="39">
        <v>50.94</v>
      </c>
      <c r="Q51" s="39"/>
      <c r="R51" s="39"/>
      <c r="S51" s="39"/>
      <c r="T51" s="39"/>
      <c r="U51" s="39"/>
      <c r="V51" s="39">
        <v>1</v>
      </c>
      <c r="W51" s="39">
        <v>5</v>
      </c>
      <c r="X51" s="39">
        <v>0</v>
      </c>
      <c r="Y51" s="39">
        <v>0</v>
      </c>
      <c r="Z51" s="39">
        <v>189</v>
      </c>
      <c r="AA51" s="39">
        <v>8346.7199999999993</v>
      </c>
      <c r="AB51" s="39">
        <v>52</v>
      </c>
      <c r="AC51" s="39">
        <v>245.16</v>
      </c>
      <c r="AD51" s="39">
        <v>125</v>
      </c>
      <c r="AE51" s="39">
        <v>168.88</v>
      </c>
      <c r="AF51" s="39"/>
      <c r="AG51" s="39"/>
      <c r="AH51" s="39">
        <v>0</v>
      </c>
      <c r="AI51" s="39"/>
      <c r="AJ51" s="39"/>
      <c r="AK51" s="39"/>
      <c r="AL51" s="39"/>
      <c r="AM51" s="39"/>
      <c r="AN51" s="39">
        <v>8.94</v>
      </c>
      <c r="AO51" s="39">
        <v>0</v>
      </c>
      <c r="AP51" s="39">
        <v>-711.34999999999991</v>
      </c>
      <c r="AQ51" s="39">
        <v>102</v>
      </c>
      <c r="AR51" s="39">
        <v>696.91</v>
      </c>
      <c r="AS51" s="39">
        <v>317</v>
      </c>
      <c r="AT51" s="39">
        <v>2395.19</v>
      </c>
      <c r="AU51" s="39">
        <v>30</v>
      </c>
      <c r="AV51" s="39">
        <v>293.64999999999998</v>
      </c>
      <c r="AW51" s="39">
        <v>13</v>
      </c>
      <c r="AX51" s="39">
        <v>118.16</v>
      </c>
      <c r="AY51" s="39">
        <v>69</v>
      </c>
      <c r="AZ51" s="39">
        <v>404.97</v>
      </c>
      <c r="BA51" s="39"/>
      <c r="BB51" s="39"/>
      <c r="BC51" s="39"/>
      <c r="BD51" s="39"/>
      <c r="BE51" s="39"/>
      <c r="BF51" s="39"/>
      <c r="BG51" s="39"/>
      <c r="BH51" s="39"/>
      <c r="BI51" s="39"/>
      <c r="BJ51" s="39"/>
      <c r="BK51" s="39"/>
      <c r="BL51" s="39"/>
      <c r="BM51" s="39"/>
      <c r="BN51" s="39"/>
      <c r="BO51" s="39"/>
      <c r="BP51" s="39">
        <v>2</v>
      </c>
      <c r="BQ51" s="39">
        <v>16.7</v>
      </c>
      <c r="BR51" s="39">
        <v>15.46</v>
      </c>
      <c r="BS51" s="39">
        <v>4507.6099999999997</v>
      </c>
      <c r="BT51" s="39"/>
      <c r="BU51" s="39"/>
      <c r="BV51" s="39">
        <v>0</v>
      </c>
      <c r="BW51" s="39">
        <v>0</v>
      </c>
      <c r="BX51" s="39"/>
      <c r="BY51" s="39"/>
      <c r="BZ51" s="39"/>
      <c r="CA51" s="39">
        <v>14</v>
      </c>
      <c r="CB51" s="39">
        <v>193.28</v>
      </c>
      <c r="CC51" s="39">
        <v>1</v>
      </c>
      <c r="CD51" s="39">
        <v>27.55</v>
      </c>
      <c r="CE51" s="39"/>
      <c r="CF51" s="44"/>
    </row>
    <row r="52" spans="1:84" x14ac:dyDescent="0.35">
      <c r="A52" s="42">
        <v>355439</v>
      </c>
      <c r="B52" s="61">
        <v>44220</v>
      </c>
      <c r="C52" s="61">
        <v>44226</v>
      </c>
      <c r="D52">
        <v>1250</v>
      </c>
      <c r="E52">
        <v>4096.51</v>
      </c>
      <c r="F52">
        <v>13331.880000000001</v>
      </c>
      <c r="G52">
        <v>5387.71</v>
      </c>
      <c r="H52">
        <v>5919.0899999999992</v>
      </c>
      <c r="I52">
        <v>895.9</v>
      </c>
      <c r="J52">
        <v>27286.5</v>
      </c>
      <c r="K52">
        <v>0</v>
      </c>
      <c r="L52">
        <v>4795</v>
      </c>
      <c r="M52">
        <v>0</v>
      </c>
      <c r="N52">
        <v>28236.83</v>
      </c>
      <c r="O52">
        <v>21</v>
      </c>
      <c r="P52">
        <v>83.27</v>
      </c>
      <c r="Q52">
        <v>59</v>
      </c>
      <c r="R52">
        <v>43.37</v>
      </c>
      <c r="S52">
        <v>295</v>
      </c>
      <c r="T52">
        <v>541.09</v>
      </c>
      <c r="U52">
        <v>216.41</v>
      </c>
      <c r="V52">
        <v>40</v>
      </c>
      <c r="W52">
        <v>440</v>
      </c>
      <c r="X52">
        <v>92</v>
      </c>
      <c r="Y52">
        <v>0</v>
      </c>
      <c r="Z52">
        <v>718</v>
      </c>
      <c r="AA52">
        <v>9841.4399999999987</v>
      </c>
      <c r="AB52">
        <v>129</v>
      </c>
      <c r="AC52">
        <v>470.28999999999996</v>
      </c>
      <c r="AD52">
        <v>153</v>
      </c>
      <c r="AE52">
        <v>266.81</v>
      </c>
      <c r="AF52">
        <v>1.1000000000000001</v>
      </c>
      <c r="AG52">
        <v>1</v>
      </c>
      <c r="AH52">
        <v>0</v>
      </c>
      <c r="AI52">
        <v>0</v>
      </c>
      <c r="AJ52">
        <v>1475.81</v>
      </c>
      <c r="AK52">
        <v>0</v>
      </c>
      <c r="AL52">
        <v>22778.99</v>
      </c>
      <c r="AM52">
        <v>1</v>
      </c>
      <c r="AN52">
        <v>2732.94</v>
      </c>
      <c r="AO52">
        <v>417.3</v>
      </c>
      <c r="AP52">
        <v>-737.56999999999994</v>
      </c>
      <c r="AQ52">
        <v>698</v>
      </c>
      <c r="AR52">
        <v>4970.3099999999995</v>
      </c>
      <c r="AS52">
        <v>2000</v>
      </c>
      <c r="AT52">
        <v>13584.85</v>
      </c>
      <c r="AU52">
        <v>208</v>
      </c>
      <c r="AV52">
        <v>1568.6999999999998</v>
      </c>
      <c r="AW52">
        <v>63</v>
      </c>
      <c r="AX52">
        <v>467.53</v>
      </c>
      <c r="AY52">
        <v>430</v>
      </c>
      <c r="AZ52">
        <v>2010.26</v>
      </c>
      <c r="BA52">
        <v>16</v>
      </c>
      <c r="BB52">
        <v>136.49</v>
      </c>
      <c r="BC52">
        <v>12</v>
      </c>
      <c r="BD52">
        <v>57.31</v>
      </c>
      <c r="BE52">
        <v>79</v>
      </c>
      <c r="BF52">
        <v>453.94</v>
      </c>
      <c r="BG52">
        <v>20</v>
      </c>
      <c r="BH52">
        <v>67.53</v>
      </c>
      <c r="BI52">
        <v>0</v>
      </c>
      <c r="BJ52">
        <v>0</v>
      </c>
      <c r="BK52">
        <v>82</v>
      </c>
      <c r="BL52">
        <v>406</v>
      </c>
      <c r="BM52">
        <v>9</v>
      </c>
      <c r="BN52">
        <v>54.95</v>
      </c>
      <c r="BO52">
        <v>76.17</v>
      </c>
      <c r="BP52">
        <v>26</v>
      </c>
      <c r="BQ52">
        <v>406.63</v>
      </c>
      <c r="BR52">
        <v>373.12</v>
      </c>
      <c r="BS52">
        <v>4507.6099999999997</v>
      </c>
      <c r="BT52">
        <v>0</v>
      </c>
      <c r="BU52">
        <v>0</v>
      </c>
      <c r="BV52">
        <v>0</v>
      </c>
      <c r="BW52">
        <v>0</v>
      </c>
      <c r="BX52">
        <v>0</v>
      </c>
      <c r="BY52">
        <v>0</v>
      </c>
      <c r="BZ52">
        <v>0</v>
      </c>
      <c r="CA52">
        <v>57</v>
      </c>
      <c r="CB52">
        <v>645.49</v>
      </c>
      <c r="CC52">
        <v>2</v>
      </c>
      <c r="CD52">
        <v>57.7</v>
      </c>
      <c r="CE52">
        <v>0</v>
      </c>
      <c r="CF52">
        <v>0</v>
      </c>
    </row>
    <row r="53" spans="1:84" x14ac:dyDescent="0.35">
      <c r="A53" s="65"/>
      <c r="B53" s="66"/>
      <c r="C53" s="66"/>
    </row>
    <row r="54" spans="1:84" x14ac:dyDescent="0.35">
      <c r="A54" s="42" t="s">
        <v>137</v>
      </c>
      <c r="B54" s="61">
        <v>44225</v>
      </c>
      <c r="C54" s="61">
        <v>44225</v>
      </c>
      <c r="D54" s="39">
        <v>0</v>
      </c>
      <c r="E54" s="39">
        <v>0</v>
      </c>
      <c r="F54" s="39">
        <v>39.81</v>
      </c>
      <c r="G54" s="39">
        <v>-8.7200000000000006</v>
      </c>
      <c r="H54" s="39">
        <v>15.72</v>
      </c>
      <c r="I54" s="39">
        <v>2.29</v>
      </c>
      <c r="J54" s="39">
        <v>54.12</v>
      </c>
      <c r="K54" s="39"/>
      <c r="L54" s="39">
        <v>32</v>
      </c>
      <c r="M54" s="39"/>
      <c r="N54" s="39">
        <v>55.68</v>
      </c>
      <c r="O54" s="39">
        <v>6</v>
      </c>
      <c r="P54" s="39">
        <v>29.76</v>
      </c>
      <c r="Q54" s="39"/>
      <c r="R54" s="39"/>
      <c r="S54" s="39"/>
      <c r="T54" s="39"/>
      <c r="U54" s="39"/>
      <c r="V54" s="39">
        <v>0</v>
      </c>
      <c r="W54" s="39">
        <v>0</v>
      </c>
      <c r="X54" s="39">
        <v>0</v>
      </c>
      <c r="Y54" s="39">
        <v>0</v>
      </c>
      <c r="Z54" s="39">
        <v>6</v>
      </c>
      <c r="AA54" s="39">
        <v>9.9600000000000009</v>
      </c>
      <c r="AB54" s="39">
        <v>20</v>
      </c>
      <c r="AC54" s="39">
        <v>46</v>
      </c>
      <c r="AD54" s="39">
        <v>25</v>
      </c>
      <c r="AE54" s="39">
        <v>22.01</v>
      </c>
      <c r="AF54" s="39"/>
      <c r="AG54" s="39"/>
      <c r="AH54" s="39">
        <v>0</v>
      </c>
      <c r="AI54" s="39"/>
      <c r="AJ54" s="39"/>
      <c r="AK54" s="39"/>
      <c r="AL54" s="39"/>
      <c r="AM54" s="39"/>
      <c r="AN54" s="39">
        <v>8.94</v>
      </c>
      <c r="AO54" s="39">
        <v>0</v>
      </c>
      <c r="AP54" s="39">
        <v>15.899999999999999</v>
      </c>
      <c r="AQ54" s="39">
        <v>5</v>
      </c>
      <c r="AR54" s="39">
        <v>18.43</v>
      </c>
      <c r="AS54" s="39">
        <v>8</v>
      </c>
      <c r="AT54" s="39">
        <v>28.75</v>
      </c>
      <c r="AU54" s="39">
        <v>0</v>
      </c>
      <c r="AV54" s="39">
        <v>3.45</v>
      </c>
      <c r="AW54" s="39"/>
      <c r="AX54" s="39"/>
      <c r="AY54" s="39">
        <v>2</v>
      </c>
      <c r="AZ54" s="39">
        <v>14.82</v>
      </c>
      <c r="BA54" s="39"/>
      <c r="BB54" s="39"/>
      <c r="BC54" s="39"/>
      <c r="BD54" s="39"/>
      <c r="BE54" s="39"/>
      <c r="BF54" s="39"/>
      <c r="BG54" s="39"/>
      <c r="BH54" s="39"/>
      <c r="BI54" s="39"/>
      <c r="BJ54" s="39"/>
      <c r="BK54" s="39"/>
      <c r="BL54" s="39"/>
      <c r="BM54" s="39"/>
      <c r="BN54" s="39"/>
      <c r="BO54" s="39"/>
      <c r="BP54" s="39"/>
      <c r="BQ54" s="39"/>
      <c r="BR54" s="39"/>
      <c r="BS54" s="39">
        <v>54.12</v>
      </c>
      <c r="BT54" s="39"/>
      <c r="BU54" s="39"/>
      <c r="BV54" s="39">
        <v>0</v>
      </c>
      <c r="BW54" s="39">
        <v>0</v>
      </c>
      <c r="BX54" s="39"/>
      <c r="BY54" s="39"/>
      <c r="BZ54" s="39"/>
      <c r="CA54" s="39"/>
      <c r="CB54" s="39"/>
      <c r="CC54" s="39"/>
      <c r="CD54" s="39"/>
      <c r="CE54" s="39"/>
      <c r="CF54" s="44"/>
    </row>
    <row r="55" spans="1:84" x14ac:dyDescent="0.35">
      <c r="A55" s="40" t="s">
        <v>136</v>
      </c>
      <c r="B55" s="62">
        <v>44225</v>
      </c>
      <c r="C55" s="62">
        <v>44225</v>
      </c>
      <c r="D55" s="41">
        <v>161</v>
      </c>
      <c r="E55" s="63">
        <v>525.21</v>
      </c>
      <c r="F55" s="63">
        <v>1713.83</v>
      </c>
      <c r="G55" s="63">
        <v>781.04</v>
      </c>
      <c r="H55" s="63">
        <v>858.78</v>
      </c>
      <c r="I55" s="63">
        <v>115.98</v>
      </c>
      <c r="J55" s="63">
        <v>3674.29</v>
      </c>
      <c r="K55" s="63">
        <v>0</v>
      </c>
      <c r="L55" s="41">
        <v>617</v>
      </c>
      <c r="M55" s="63">
        <v>0</v>
      </c>
      <c r="N55" s="63">
        <v>3789.71</v>
      </c>
      <c r="O55" s="41">
        <v>0</v>
      </c>
      <c r="P55" s="63">
        <v>0</v>
      </c>
      <c r="Q55" s="41">
        <v>7</v>
      </c>
      <c r="R55" s="63">
        <v>1.46</v>
      </c>
      <c r="S55" s="41">
        <v>40</v>
      </c>
      <c r="T55" s="63">
        <v>75.05</v>
      </c>
      <c r="U55" s="63">
        <v>38.909999999999997</v>
      </c>
      <c r="V55" s="41">
        <v>1</v>
      </c>
      <c r="W55" s="63">
        <v>20</v>
      </c>
      <c r="X55" s="41">
        <v>13</v>
      </c>
      <c r="Y55" s="63">
        <v>0</v>
      </c>
      <c r="Z55" s="41">
        <v>87</v>
      </c>
      <c r="AA55" s="63">
        <v>261.17</v>
      </c>
      <c r="AB55" s="41">
        <v>10</v>
      </c>
      <c r="AC55" s="63">
        <v>19.149999999999999</v>
      </c>
      <c r="AD55" s="41">
        <v>5</v>
      </c>
      <c r="AE55" s="63">
        <v>22.23</v>
      </c>
      <c r="AF55" s="63">
        <v>0</v>
      </c>
      <c r="AG55" s="63">
        <v>0</v>
      </c>
      <c r="AH55" s="63">
        <v>0</v>
      </c>
      <c r="AI55" s="63">
        <v>0</v>
      </c>
      <c r="AJ55" s="63">
        <v>0</v>
      </c>
      <c r="AK55" s="41"/>
      <c r="AL55" s="63">
        <v>3674.29</v>
      </c>
      <c r="AM55" s="63">
        <v>0</v>
      </c>
      <c r="AN55" s="63">
        <v>0</v>
      </c>
      <c r="AO55" s="63">
        <v>0</v>
      </c>
      <c r="AP55" s="63">
        <v>0</v>
      </c>
      <c r="AQ55" s="41">
        <v>80</v>
      </c>
      <c r="AR55" s="63">
        <v>562.54999999999995</v>
      </c>
      <c r="AS55" s="41">
        <v>274</v>
      </c>
      <c r="AT55" s="63">
        <v>2010.02</v>
      </c>
      <c r="AU55" s="41">
        <v>19</v>
      </c>
      <c r="AV55" s="63">
        <v>128.63</v>
      </c>
      <c r="AW55" s="41">
        <v>8</v>
      </c>
      <c r="AX55" s="63">
        <v>70.540000000000006</v>
      </c>
      <c r="AY55" s="41">
        <v>51</v>
      </c>
      <c r="AZ55" s="63">
        <v>247.11</v>
      </c>
      <c r="BA55" s="41"/>
      <c r="BB55" s="41"/>
      <c r="BC55" s="41"/>
      <c r="BD55" s="41"/>
      <c r="BE55" s="41"/>
      <c r="BF55" s="41"/>
      <c r="BG55" s="41"/>
      <c r="BH55" s="41"/>
      <c r="BI55" s="41"/>
      <c r="BJ55" s="41"/>
      <c r="BK55" s="41"/>
      <c r="BL55" s="41"/>
      <c r="BM55" s="41"/>
      <c r="BN55" s="41"/>
      <c r="BO55" s="63">
        <v>25.3</v>
      </c>
      <c r="BP55" s="41"/>
      <c r="BQ55" s="41"/>
      <c r="BR55" s="63">
        <v>8.98</v>
      </c>
      <c r="BS55" s="41"/>
      <c r="BT55" s="41"/>
      <c r="BU55" s="41"/>
      <c r="BV55" s="41"/>
      <c r="BW55" s="41"/>
      <c r="BX55" s="41"/>
      <c r="BY55" s="41"/>
      <c r="BZ55" s="41"/>
      <c r="CA55" s="41"/>
      <c r="CB55" s="41"/>
      <c r="CC55" s="41"/>
      <c r="CD55" s="41"/>
      <c r="CE55" s="41"/>
      <c r="CF55" s="43"/>
    </row>
    <row r="56" spans="1:84" x14ac:dyDescent="0.35">
      <c r="A56" s="40">
        <v>355439</v>
      </c>
      <c r="B56" s="62">
        <v>44225</v>
      </c>
      <c r="C56" s="62">
        <v>44225</v>
      </c>
      <c r="D56" s="41">
        <f>D54+D55</f>
        <v>161</v>
      </c>
      <c r="E56" s="41">
        <f t="shared" ref="E56:BP56" si="12">E54+E55</f>
        <v>525.21</v>
      </c>
      <c r="F56" s="41">
        <f t="shared" si="12"/>
        <v>1753.6399999999999</v>
      </c>
      <c r="G56" s="41">
        <f t="shared" si="12"/>
        <v>772.31999999999994</v>
      </c>
      <c r="H56" s="41">
        <f t="shared" si="12"/>
        <v>874.5</v>
      </c>
      <c r="I56" s="41">
        <f t="shared" si="12"/>
        <v>118.27000000000001</v>
      </c>
      <c r="J56" s="41">
        <f t="shared" si="12"/>
        <v>3728.41</v>
      </c>
      <c r="K56" s="41">
        <f t="shared" si="12"/>
        <v>0</v>
      </c>
      <c r="L56" s="41">
        <f t="shared" si="12"/>
        <v>649</v>
      </c>
      <c r="M56" s="41">
        <f t="shared" si="12"/>
        <v>0</v>
      </c>
      <c r="N56" s="41">
        <f t="shared" si="12"/>
        <v>3845.39</v>
      </c>
      <c r="O56" s="41">
        <f t="shared" si="12"/>
        <v>6</v>
      </c>
      <c r="P56" s="41">
        <f t="shared" si="12"/>
        <v>29.76</v>
      </c>
      <c r="Q56" s="41">
        <f t="shared" si="12"/>
        <v>7</v>
      </c>
      <c r="R56" s="41">
        <f t="shared" si="12"/>
        <v>1.46</v>
      </c>
      <c r="S56" s="41">
        <f t="shared" si="12"/>
        <v>40</v>
      </c>
      <c r="T56" s="41">
        <f t="shared" si="12"/>
        <v>75.05</v>
      </c>
      <c r="U56" s="41">
        <f t="shared" si="12"/>
        <v>38.909999999999997</v>
      </c>
      <c r="V56" s="41">
        <f t="shared" si="12"/>
        <v>1</v>
      </c>
      <c r="W56" s="41">
        <f t="shared" si="12"/>
        <v>20</v>
      </c>
      <c r="X56" s="41">
        <f t="shared" si="12"/>
        <v>13</v>
      </c>
      <c r="Y56" s="41">
        <f t="shared" si="12"/>
        <v>0</v>
      </c>
      <c r="Z56" s="41">
        <f t="shared" si="12"/>
        <v>93</v>
      </c>
      <c r="AA56" s="41">
        <f t="shared" si="12"/>
        <v>271.13</v>
      </c>
      <c r="AB56" s="41">
        <f t="shared" si="12"/>
        <v>30</v>
      </c>
      <c r="AC56" s="41">
        <f t="shared" si="12"/>
        <v>65.150000000000006</v>
      </c>
      <c r="AD56" s="41">
        <f t="shared" si="12"/>
        <v>30</v>
      </c>
      <c r="AE56" s="41">
        <f t="shared" si="12"/>
        <v>44.24</v>
      </c>
      <c r="AF56" s="41">
        <f t="shared" si="12"/>
        <v>0</v>
      </c>
      <c r="AG56" s="41">
        <f t="shared" si="12"/>
        <v>0</v>
      </c>
      <c r="AH56" s="41">
        <f t="shared" si="12"/>
        <v>0</v>
      </c>
      <c r="AI56" s="41">
        <f t="shared" si="12"/>
        <v>0</v>
      </c>
      <c r="AJ56" s="41">
        <f t="shared" si="12"/>
        <v>0</v>
      </c>
      <c r="AK56" s="41">
        <f t="shared" si="12"/>
        <v>0</v>
      </c>
      <c r="AL56" s="41">
        <f t="shared" si="12"/>
        <v>3674.29</v>
      </c>
      <c r="AM56" s="41">
        <f t="shared" si="12"/>
        <v>0</v>
      </c>
      <c r="AN56" s="41">
        <f t="shared" si="12"/>
        <v>8.94</v>
      </c>
      <c r="AO56" s="41">
        <f t="shared" si="12"/>
        <v>0</v>
      </c>
      <c r="AP56" s="41">
        <f t="shared" si="12"/>
        <v>15.899999999999999</v>
      </c>
      <c r="AQ56" s="41">
        <f t="shared" si="12"/>
        <v>85</v>
      </c>
      <c r="AR56" s="41">
        <f t="shared" si="12"/>
        <v>580.9799999999999</v>
      </c>
      <c r="AS56" s="41">
        <f t="shared" si="12"/>
        <v>282</v>
      </c>
      <c r="AT56" s="41">
        <f t="shared" si="12"/>
        <v>2038.77</v>
      </c>
      <c r="AU56" s="41">
        <f t="shared" si="12"/>
        <v>19</v>
      </c>
      <c r="AV56" s="41">
        <f t="shared" si="12"/>
        <v>132.07999999999998</v>
      </c>
      <c r="AW56" s="41">
        <f t="shared" si="12"/>
        <v>8</v>
      </c>
      <c r="AX56" s="41">
        <f t="shared" si="12"/>
        <v>70.540000000000006</v>
      </c>
      <c r="AY56" s="41">
        <f t="shared" si="12"/>
        <v>53</v>
      </c>
      <c r="AZ56" s="41">
        <f t="shared" si="12"/>
        <v>261.93</v>
      </c>
      <c r="BA56" s="41">
        <f t="shared" si="12"/>
        <v>0</v>
      </c>
      <c r="BB56" s="41">
        <f t="shared" si="12"/>
        <v>0</v>
      </c>
      <c r="BC56" s="41">
        <f t="shared" si="12"/>
        <v>0</v>
      </c>
      <c r="BD56" s="41">
        <f t="shared" si="12"/>
        <v>0</v>
      </c>
      <c r="BE56" s="41">
        <f t="shared" si="12"/>
        <v>0</v>
      </c>
      <c r="BF56" s="41">
        <f t="shared" si="12"/>
        <v>0</v>
      </c>
      <c r="BG56" s="41">
        <f t="shared" si="12"/>
        <v>0</v>
      </c>
      <c r="BH56" s="41">
        <f t="shared" si="12"/>
        <v>0</v>
      </c>
      <c r="BI56" s="41">
        <f t="shared" si="12"/>
        <v>0</v>
      </c>
      <c r="BJ56" s="41">
        <f t="shared" si="12"/>
        <v>0</v>
      </c>
      <c r="BK56" s="41">
        <f t="shared" si="12"/>
        <v>0</v>
      </c>
      <c r="BL56" s="41">
        <f t="shared" si="12"/>
        <v>0</v>
      </c>
      <c r="BM56" s="41">
        <f t="shared" si="12"/>
        <v>0</v>
      </c>
      <c r="BN56" s="41">
        <f t="shared" si="12"/>
        <v>0</v>
      </c>
      <c r="BO56" s="41">
        <f t="shared" si="12"/>
        <v>25.3</v>
      </c>
      <c r="BP56" s="41">
        <f t="shared" si="12"/>
        <v>0</v>
      </c>
      <c r="BQ56" s="41">
        <f t="shared" ref="BQ56:CF56" si="13">BQ54+BQ55</f>
        <v>0</v>
      </c>
      <c r="BR56" s="41">
        <f t="shared" si="13"/>
        <v>8.98</v>
      </c>
      <c r="BS56" s="41">
        <f t="shared" si="13"/>
        <v>54.12</v>
      </c>
      <c r="BT56" s="41">
        <f t="shared" si="13"/>
        <v>0</v>
      </c>
      <c r="BU56" s="41">
        <f t="shared" si="13"/>
        <v>0</v>
      </c>
      <c r="BV56" s="41">
        <f t="shared" si="13"/>
        <v>0</v>
      </c>
      <c r="BW56" s="41">
        <f t="shared" si="13"/>
        <v>0</v>
      </c>
      <c r="BX56" s="41">
        <f t="shared" si="13"/>
        <v>0</v>
      </c>
      <c r="BY56" s="41">
        <f t="shared" si="13"/>
        <v>0</v>
      </c>
      <c r="BZ56" s="41">
        <f t="shared" si="13"/>
        <v>0</v>
      </c>
      <c r="CA56" s="41">
        <f t="shared" si="13"/>
        <v>0</v>
      </c>
      <c r="CB56" s="41">
        <f t="shared" si="13"/>
        <v>0</v>
      </c>
      <c r="CC56" s="41">
        <f t="shared" si="13"/>
        <v>0</v>
      </c>
      <c r="CD56" s="41">
        <f t="shared" si="13"/>
        <v>0</v>
      </c>
      <c r="CE56" s="41">
        <f t="shared" si="13"/>
        <v>0</v>
      </c>
      <c r="CF56" s="41">
        <f t="shared" si="13"/>
        <v>0</v>
      </c>
    </row>
    <row r="57" spans="1:84" x14ac:dyDescent="0.35">
      <c r="A57" s="40"/>
      <c r="B57" s="62"/>
      <c r="C57" s="62"/>
      <c r="D57" s="41"/>
      <c r="E57" s="63"/>
      <c r="F57" s="63"/>
      <c r="G57" s="63"/>
      <c r="H57" s="63"/>
      <c r="I57" s="63"/>
      <c r="J57" s="63"/>
      <c r="K57" s="63"/>
      <c r="L57" s="41"/>
      <c r="M57" s="63"/>
      <c r="N57" s="63"/>
      <c r="O57" s="41"/>
      <c r="P57" s="63"/>
      <c r="Q57" s="41"/>
      <c r="R57" s="63"/>
      <c r="S57" s="41"/>
      <c r="T57" s="63"/>
      <c r="U57" s="63"/>
      <c r="V57" s="41"/>
      <c r="W57" s="63"/>
      <c r="X57" s="41"/>
      <c r="Y57" s="63"/>
      <c r="Z57" s="41"/>
      <c r="AA57" s="63"/>
      <c r="AB57" s="41"/>
      <c r="AC57" s="63"/>
      <c r="AD57" s="41"/>
      <c r="AE57" s="63"/>
      <c r="AF57" s="63"/>
      <c r="AG57" s="63"/>
      <c r="AH57" s="63"/>
      <c r="AI57" s="63"/>
      <c r="AJ57" s="63"/>
      <c r="AK57" s="41"/>
      <c r="AL57" s="63"/>
      <c r="AM57" s="63"/>
      <c r="AN57" s="63"/>
      <c r="AO57" s="63"/>
      <c r="AP57" s="63"/>
      <c r="AQ57" s="41"/>
      <c r="AR57" s="63"/>
      <c r="AS57" s="41"/>
      <c r="AT57" s="63"/>
      <c r="AU57" s="41"/>
      <c r="AV57" s="63"/>
      <c r="AW57" s="41"/>
      <c r="AX57" s="63"/>
      <c r="AY57" s="41"/>
      <c r="AZ57" s="63"/>
      <c r="BA57" s="41"/>
      <c r="BB57" s="41"/>
      <c r="BC57" s="41"/>
      <c r="BD57" s="41"/>
      <c r="BE57" s="41"/>
      <c r="BF57" s="41"/>
      <c r="BG57" s="41"/>
      <c r="BH57" s="41"/>
      <c r="BI57" s="41"/>
      <c r="BJ57" s="41"/>
      <c r="BK57" s="41"/>
      <c r="BL57" s="41"/>
      <c r="BM57" s="41"/>
      <c r="BN57" s="41"/>
      <c r="BO57" s="63"/>
      <c r="BP57" s="41"/>
      <c r="BQ57" s="41"/>
      <c r="BR57" s="63"/>
      <c r="BS57" s="41"/>
      <c r="BT57" s="41"/>
      <c r="BU57" s="41"/>
      <c r="BV57" s="41"/>
      <c r="BW57" s="41"/>
      <c r="BX57" s="41"/>
      <c r="BY57" s="41"/>
      <c r="BZ57" s="41"/>
      <c r="CA57" s="41"/>
      <c r="CB57" s="41"/>
      <c r="CC57" s="41"/>
      <c r="CD57" s="41"/>
      <c r="CE57" s="41"/>
      <c r="CF57" s="43"/>
    </row>
    <row r="58" spans="1:84" x14ac:dyDescent="0.35">
      <c r="A58" s="42" t="s">
        <v>136</v>
      </c>
      <c r="B58" s="61">
        <v>44226</v>
      </c>
      <c r="C58" s="61">
        <v>44226</v>
      </c>
      <c r="D58" s="39">
        <v>44</v>
      </c>
      <c r="E58" s="64">
        <v>144.1</v>
      </c>
      <c r="F58" s="64">
        <v>387.63</v>
      </c>
      <c r="G58" s="64">
        <v>150.63</v>
      </c>
      <c r="H58" s="64">
        <v>73.72</v>
      </c>
      <c r="I58" s="64">
        <v>14.33</v>
      </c>
      <c r="J58" s="64">
        <v>671.31</v>
      </c>
      <c r="K58" s="64">
        <v>0</v>
      </c>
      <c r="L58" s="39">
        <v>141</v>
      </c>
      <c r="M58" s="64">
        <v>0</v>
      </c>
      <c r="N58" s="64">
        <v>736.26</v>
      </c>
      <c r="O58" s="39">
        <v>1</v>
      </c>
      <c r="P58" s="64">
        <v>18.98</v>
      </c>
      <c r="Q58" s="39">
        <v>0</v>
      </c>
      <c r="R58" s="64">
        <v>0</v>
      </c>
      <c r="S58" s="39">
        <v>20</v>
      </c>
      <c r="T58" s="64">
        <v>40.270000000000003</v>
      </c>
      <c r="U58" s="64">
        <v>5.7</v>
      </c>
      <c r="V58" s="39">
        <v>0</v>
      </c>
      <c r="W58" s="64">
        <v>0</v>
      </c>
      <c r="X58" s="39">
        <v>1</v>
      </c>
      <c r="Y58" s="64">
        <v>0</v>
      </c>
      <c r="Z58" s="39">
        <v>25</v>
      </c>
      <c r="AA58" s="64">
        <v>64.459999999999994</v>
      </c>
      <c r="AB58" s="39">
        <v>5</v>
      </c>
      <c r="AC58" s="64">
        <v>14.15</v>
      </c>
      <c r="AD58" s="39">
        <v>2</v>
      </c>
      <c r="AE58" s="64">
        <v>0</v>
      </c>
      <c r="AF58" s="64">
        <v>0</v>
      </c>
      <c r="AG58" s="64">
        <v>0</v>
      </c>
      <c r="AH58" s="64">
        <v>0</v>
      </c>
      <c r="AI58" s="64">
        <v>0</v>
      </c>
      <c r="AJ58" s="64">
        <v>0</v>
      </c>
      <c r="AK58" s="39"/>
      <c r="AL58" s="64">
        <v>671.31</v>
      </c>
      <c r="AM58" s="64">
        <v>0</v>
      </c>
      <c r="AN58" s="64">
        <v>0</v>
      </c>
      <c r="AO58" s="64">
        <v>0</v>
      </c>
      <c r="AP58" s="64">
        <v>0</v>
      </c>
      <c r="AQ58" s="39">
        <v>20</v>
      </c>
      <c r="AR58" s="64">
        <v>110.85</v>
      </c>
      <c r="AS58" s="39">
        <v>65</v>
      </c>
      <c r="AT58" s="64">
        <v>338.15</v>
      </c>
      <c r="AU58" s="39">
        <v>10</v>
      </c>
      <c r="AV58" s="64">
        <v>52.36</v>
      </c>
      <c r="AW58" s="39">
        <v>1</v>
      </c>
      <c r="AX58" s="64">
        <v>4.41</v>
      </c>
      <c r="AY58" s="39">
        <v>12</v>
      </c>
      <c r="AZ58" s="64">
        <v>58.98</v>
      </c>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44"/>
    </row>
    <row r="59" spans="1:84" x14ac:dyDescent="0.35">
      <c r="A59" s="40" t="s">
        <v>134</v>
      </c>
      <c r="B59" s="62">
        <v>44226</v>
      </c>
      <c r="C59" s="62">
        <v>44226</v>
      </c>
      <c r="D59" s="41">
        <v>201</v>
      </c>
      <c r="E59" s="41">
        <v>730.69</v>
      </c>
      <c r="F59" s="41">
        <v>2190.4599999999996</v>
      </c>
      <c r="G59" s="41">
        <v>779.97</v>
      </c>
      <c r="H59" s="41">
        <v>1031.6400000000001</v>
      </c>
      <c r="I59" s="41">
        <v>178.18</v>
      </c>
      <c r="J59" s="41">
        <v>4453.49</v>
      </c>
      <c r="K59" s="41"/>
      <c r="L59" s="41">
        <v>674</v>
      </c>
      <c r="M59" s="41"/>
      <c r="N59" s="41">
        <v>4569.0599999999995</v>
      </c>
      <c r="O59" s="41">
        <v>11</v>
      </c>
      <c r="P59" s="41">
        <v>21.18</v>
      </c>
      <c r="Q59" s="41"/>
      <c r="R59" s="41"/>
      <c r="S59" s="41"/>
      <c r="T59" s="41"/>
      <c r="U59" s="41"/>
      <c r="V59" s="41">
        <v>1</v>
      </c>
      <c r="W59" s="41">
        <v>5</v>
      </c>
      <c r="X59" s="41">
        <v>0</v>
      </c>
      <c r="Y59" s="41">
        <v>0</v>
      </c>
      <c r="Z59" s="41">
        <v>183</v>
      </c>
      <c r="AA59" s="41">
        <v>8336.76</v>
      </c>
      <c r="AB59" s="41">
        <v>32</v>
      </c>
      <c r="AC59" s="41">
        <v>199.16</v>
      </c>
      <c r="AD59" s="41">
        <v>100</v>
      </c>
      <c r="AE59" s="41">
        <v>146.87</v>
      </c>
      <c r="AF59" s="41"/>
      <c r="AG59" s="41"/>
      <c r="AH59" s="41">
        <v>0</v>
      </c>
      <c r="AI59" s="41"/>
      <c r="AJ59" s="41"/>
      <c r="AK59" s="41"/>
      <c r="AL59" s="41"/>
      <c r="AM59" s="41"/>
      <c r="AN59" s="41">
        <v>8.94</v>
      </c>
      <c r="AO59" s="41">
        <v>0</v>
      </c>
      <c r="AP59" s="41">
        <v>-718.31</v>
      </c>
      <c r="AQ59" s="41">
        <v>97</v>
      </c>
      <c r="AR59" s="41">
        <v>678.48</v>
      </c>
      <c r="AS59" s="41">
        <v>309</v>
      </c>
      <c r="AT59" s="41">
        <v>2366.44</v>
      </c>
      <c r="AU59" s="41">
        <v>30</v>
      </c>
      <c r="AV59" s="41">
        <v>290.2</v>
      </c>
      <c r="AW59" s="41">
        <v>13</v>
      </c>
      <c r="AX59" s="41">
        <v>118.16</v>
      </c>
      <c r="AY59" s="41">
        <v>67</v>
      </c>
      <c r="AZ59" s="41">
        <v>390.15</v>
      </c>
      <c r="BA59" s="41"/>
      <c r="BB59" s="41"/>
      <c r="BC59" s="41"/>
      <c r="BD59" s="41"/>
      <c r="BE59" s="41"/>
      <c r="BF59" s="41"/>
      <c r="BG59" s="41"/>
      <c r="BH59" s="41"/>
      <c r="BI59" s="41"/>
      <c r="BJ59" s="41"/>
      <c r="BK59" s="41"/>
      <c r="BL59" s="41"/>
      <c r="BM59" s="41"/>
      <c r="BN59" s="41"/>
      <c r="BO59" s="41"/>
      <c r="BP59" s="41">
        <v>2</v>
      </c>
      <c r="BQ59" s="41">
        <v>16.7</v>
      </c>
      <c r="BR59" s="41">
        <v>15.46</v>
      </c>
      <c r="BS59" s="41">
        <v>4453.49</v>
      </c>
      <c r="BT59" s="41"/>
      <c r="BU59" s="41"/>
      <c r="BV59" s="41">
        <v>0</v>
      </c>
      <c r="BW59" s="41">
        <v>0</v>
      </c>
      <c r="BX59" s="41"/>
      <c r="BY59" s="41"/>
      <c r="BZ59" s="41"/>
      <c r="CA59" s="41">
        <v>14</v>
      </c>
      <c r="CB59" s="41">
        <v>193.28</v>
      </c>
      <c r="CC59" s="41">
        <v>1</v>
      </c>
      <c r="CD59" s="41">
        <v>27.55</v>
      </c>
      <c r="CE59" s="41"/>
      <c r="CF59" s="43"/>
    </row>
    <row r="60" spans="1:84" x14ac:dyDescent="0.35">
      <c r="A60">
        <v>355439</v>
      </c>
      <c r="B60" s="62">
        <v>44226</v>
      </c>
      <c r="C60" s="62">
        <v>44226</v>
      </c>
      <c r="D60">
        <f>D58+D59</f>
        <v>245</v>
      </c>
      <c r="E60">
        <f t="shared" ref="E60:BP60" si="14">E58+E59</f>
        <v>874.79000000000008</v>
      </c>
      <c r="F60">
        <f t="shared" si="14"/>
        <v>2578.0899999999997</v>
      </c>
      <c r="G60">
        <f t="shared" si="14"/>
        <v>930.6</v>
      </c>
      <c r="H60">
        <f t="shared" si="14"/>
        <v>1105.3600000000001</v>
      </c>
      <c r="I60">
        <f t="shared" si="14"/>
        <v>192.51000000000002</v>
      </c>
      <c r="J60">
        <f t="shared" si="14"/>
        <v>5124.7999999999993</v>
      </c>
      <c r="K60">
        <f t="shared" si="14"/>
        <v>0</v>
      </c>
      <c r="L60">
        <f t="shared" si="14"/>
        <v>815</v>
      </c>
      <c r="M60">
        <f t="shared" si="14"/>
        <v>0</v>
      </c>
      <c r="N60">
        <f t="shared" si="14"/>
        <v>5305.32</v>
      </c>
      <c r="O60">
        <f t="shared" si="14"/>
        <v>12</v>
      </c>
      <c r="P60">
        <f t="shared" si="14"/>
        <v>40.159999999999997</v>
      </c>
      <c r="Q60">
        <f t="shared" si="14"/>
        <v>0</v>
      </c>
      <c r="R60">
        <f t="shared" si="14"/>
        <v>0</v>
      </c>
      <c r="S60">
        <f t="shared" si="14"/>
        <v>20</v>
      </c>
      <c r="T60">
        <f t="shared" si="14"/>
        <v>40.270000000000003</v>
      </c>
      <c r="U60">
        <f t="shared" si="14"/>
        <v>5.7</v>
      </c>
      <c r="V60">
        <f t="shared" si="14"/>
        <v>1</v>
      </c>
      <c r="W60">
        <f t="shared" si="14"/>
        <v>5</v>
      </c>
      <c r="X60">
        <f t="shared" si="14"/>
        <v>1</v>
      </c>
      <c r="Y60">
        <f t="shared" si="14"/>
        <v>0</v>
      </c>
      <c r="Z60">
        <f t="shared" si="14"/>
        <v>208</v>
      </c>
      <c r="AA60">
        <f t="shared" si="14"/>
        <v>8401.2199999999993</v>
      </c>
      <c r="AB60">
        <f t="shared" si="14"/>
        <v>37</v>
      </c>
      <c r="AC60">
        <f t="shared" si="14"/>
        <v>213.31</v>
      </c>
      <c r="AD60">
        <f t="shared" si="14"/>
        <v>102</v>
      </c>
      <c r="AE60">
        <f t="shared" si="14"/>
        <v>146.87</v>
      </c>
      <c r="AF60">
        <f t="shared" si="14"/>
        <v>0</v>
      </c>
      <c r="AG60">
        <f t="shared" si="14"/>
        <v>0</v>
      </c>
      <c r="AH60">
        <f t="shared" si="14"/>
        <v>0</v>
      </c>
      <c r="AI60">
        <f t="shared" si="14"/>
        <v>0</v>
      </c>
      <c r="AJ60">
        <f t="shared" si="14"/>
        <v>0</v>
      </c>
      <c r="AK60">
        <f t="shared" si="14"/>
        <v>0</v>
      </c>
      <c r="AL60">
        <f t="shared" si="14"/>
        <v>671.31</v>
      </c>
      <c r="AM60">
        <f t="shared" si="14"/>
        <v>0</v>
      </c>
      <c r="AN60">
        <f t="shared" si="14"/>
        <v>8.94</v>
      </c>
      <c r="AO60">
        <f t="shared" si="14"/>
        <v>0</v>
      </c>
      <c r="AP60">
        <f t="shared" si="14"/>
        <v>-718.31</v>
      </c>
      <c r="AQ60">
        <f t="shared" si="14"/>
        <v>117</v>
      </c>
      <c r="AR60">
        <f t="shared" si="14"/>
        <v>789.33</v>
      </c>
      <c r="AS60">
        <f t="shared" si="14"/>
        <v>374</v>
      </c>
      <c r="AT60">
        <f t="shared" si="14"/>
        <v>2704.59</v>
      </c>
      <c r="AU60">
        <f t="shared" si="14"/>
        <v>40</v>
      </c>
      <c r="AV60">
        <f t="shared" si="14"/>
        <v>342.56</v>
      </c>
      <c r="AW60">
        <f t="shared" si="14"/>
        <v>14</v>
      </c>
      <c r="AX60">
        <f t="shared" si="14"/>
        <v>122.57</v>
      </c>
      <c r="AY60">
        <f t="shared" si="14"/>
        <v>79</v>
      </c>
      <c r="AZ60">
        <f t="shared" si="14"/>
        <v>449.13</v>
      </c>
      <c r="BA60">
        <f t="shared" si="14"/>
        <v>0</v>
      </c>
      <c r="BB60">
        <f t="shared" si="14"/>
        <v>0</v>
      </c>
      <c r="BC60">
        <f t="shared" si="14"/>
        <v>0</v>
      </c>
      <c r="BD60">
        <f t="shared" si="14"/>
        <v>0</v>
      </c>
      <c r="BE60">
        <f t="shared" si="14"/>
        <v>0</v>
      </c>
      <c r="BF60">
        <f t="shared" si="14"/>
        <v>0</v>
      </c>
      <c r="BG60">
        <f t="shared" si="14"/>
        <v>0</v>
      </c>
      <c r="BH60">
        <f t="shared" si="14"/>
        <v>0</v>
      </c>
      <c r="BI60">
        <f t="shared" si="14"/>
        <v>0</v>
      </c>
      <c r="BJ60">
        <f t="shared" si="14"/>
        <v>0</v>
      </c>
      <c r="BK60">
        <f t="shared" si="14"/>
        <v>0</v>
      </c>
      <c r="BL60">
        <f t="shared" si="14"/>
        <v>0</v>
      </c>
      <c r="BM60">
        <f t="shared" si="14"/>
        <v>0</v>
      </c>
      <c r="BN60">
        <f t="shared" si="14"/>
        <v>0</v>
      </c>
      <c r="BO60">
        <f t="shared" si="14"/>
        <v>0</v>
      </c>
      <c r="BP60">
        <f t="shared" si="14"/>
        <v>2</v>
      </c>
      <c r="BQ60">
        <f t="shared" ref="BQ60:CF60" si="15">BQ58+BQ59</f>
        <v>16.7</v>
      </c>
      <c r="BR60">
        <f t="shared" si="15"/>
        <v>15.46</v>
      </c>
      <c r="BS60">
        <f t="shared" si="15"/>
        <v>4453.49</v>
      </c>
      <c r="BT60">
        <f t="shared" si="15"/>
        <v>0</v>
      </c>
      <c r="BU60">
        <f t="shared" si="15"/>
        <v>0</v>
      </c>
      <c r="BV60">
        <f t="shared" si="15"/>
        <v>0</v>
      </c>
      <c r="BW60">
        <f t="shared" si="15"/>
        <v>0</v>
      </c>
      <c r="BX60">
        <f t="shared" si="15"/>
        <v>0</v>
      </c>
      <c r="BY60">
        <f t="shared" si="15"/>
        <v>0</v>
      </c>
      <c r="BZ60">
        <f t="shared" si="15"/>
        <v>0</v>
      </c>
      <c r="CA60">
        <f t="shared" si="15"/>
        <v>14</v>
      </c>
      <c r="CB60">
        <f t="shared" si="15"/>
        <v>193.28</v>
      </c>
      <c r="CC60">
        <f t="shared" si="15"/>
        <v>1</v>
      </c>
      <c r="CD60">
        <f t="shared" si="15"/>
        <v>27.55</v>
      </c>
      <c r="CE60">
        <f t="shared" si="15"/>
        <v>0</v>
      </c>
      <c r="CF60">
        <f t="shared" si="15"/>
        <v>0</v>
      </c>
    </row>
    <row r="64" spans="1:84" x14ac:dyDescent="0.35">
      <c r="A64" t="s">
        <v>140</v>
      </c>
    </row>
    <row r="65" spans="1:84" x14ac:dyDescent="0.35">
      <c r="A65" s="42" t="s">
        <v>139</v>
      </c>
      <c r="B65" s="61">
        <v>44225</v>
      </c>
      <c r="C65" s="61">
        <v>44225</v>
      </c>
      <c r="D65" s="39">
        <v>0</v>
      </c>
      <c r="E65" s="39">
        <v>0</v>
      </c>
      <c r="F65" s="39">
        <v>39.81</v>
      </c>
      <c r="G65" s="39">
        <v>-8.7200000000000006</v>
      </c>
      <c r="H65" s="39">
        <v>15.72</v>
      </c>
      <c r="I65" s="39">
        <v>2.29</v>
      </c>
      <c r="J65" s="39">
        <v>54.12</v>
      </c>
      <c r="K65" s="39"/>
      <c r="L65" s="39">
        <v>32</v>
      </c>
      <c r="M65" s="39"/>
      <c r="N65" s="39">
        <v>55.68</v>
      </c>
      <c r="O65" s="39">
        <v>6</v>
      </c>
      <c r="P65" s="39">
        <v>29.76</v>
      </c>
      <c r="Q65" s="39"/>
      <c r="R65" s="39"/>
      <c r="S65" s="39"/>
      <c r="T65" s="39"/>
      <c r="U65" s="39"/>
      <c r="V65" s="39">
        <v>0</v>
      </c>
      <c r="W65" s="39">
        <v>0</v>
      </c>
      <c r="X65" s="39">
        <v>0</v>
      </c>
      <c r="Y65" s="39">
        <v>0</v>
      </c>
      <c r="Z65" s="39">
        <v>6</v>
      </c>
      <c r="AA65" s="39">
        <v>9.9600000000000009</v>
      </c>
      <c r="AB65" s="39">
        <v>20</v>
      </c>
      <c r="AC65" s="39">
        <v>46</v>
      </c>
      <c r="AD65" s="39">
        <v>25</v>
      </c>
      <c r="AE65" s="39">
        <v>22.01</v>
      </c>
      <c r="AF65" s="39"/>
      <c r="AG65" s="39"/>
      <c r="AH65" s="39">
        <v>0</v>
      </c>
      <c r="AI65" s="39"/>
      <c r="AJ65" s="39">
        <v>4.37</v>
      </c>
      <c r="AK65" s="39"/>
      <c r="AL65" s="39"/>
      <c r="AM65" s="39"/>
      <c r="AN65" s="39">
        <v>8.94</v>
      </c>
      <c r="AO65" s="39">
        <v>0</v>
      </c>
      <c r="AP65" s="39">
        <v>15.899999999999999</v>
      </c>
      <c r="AQ65" s="39">
        <v>5</v>
      </c>
      <c r="AR65" s="39">
        <v>18.43</v>
      </c>
      <c r="AS65" s="39">
        <v>8</v>
      </c>
      <c r="AT65" s="39">
        <v>28.75</v>
      </c>
      <c r="AU65" s="39">
        <v>0</v>
      </c>
      <c r="AV65" s="39">
        <v>3.45</v>
      </c>
      <c r="AW65" s="39"/>
      <c r="AX65" s="39"/>
      <c r="AY65" s="39">
        <v>2</v>
      </c>
      <c r="AZ65" s="39">
        <v>14.82</v>
      </c>
      <c r="BA65" s="39"/>
      <c r="BB65" s="39"/>
      <c r="BC65" s="39"/>
      <c r="BD65" s="39"/>
      <c r="BE65" s="39"/>
      <c r="BF65" s="39"/>
      <c r="BG65" s="39"/>
      <c r="BH65" s="39"/>
      <c r="BI65" s="39"/>
      <c r="BJ65" s="39"/>
      <c r="BK65" s="39"/>
      <c r="BL65" s="39"/>
      <c r="BM65" s="39"/>
      <c r="BN65" s="39"/>
      <c r="BO65" s="39"/>
      <c r="BP65" s="39"/>
      <c r="BQ65" s="39"/>
      <c r="BR65" s="39"/>
      <c r="BS65" s="39">
        <v>54.12</v>
      </c>
      <c r="BT65" s="39"/>
      <c r="BU65" s="39"/>
      <c r="BV65" s="39">
        <v>0</v>
      </c>
      <c r="BW65" s="39">
        <v>0</v>
      </c>
      <c r="BX65" s="39"/>
      <c r="BY65" s="39"/>
      <c r="BZ65" s="39"/>
      <c r="CA65" s="39"/>
      <c r="CB65" s="39"/>
      <c r="CC65" s="39"/>
      <c r="CD65" s="39"/>
      <c r="CE65" s="39"/>
      <c r="CF65" s="44"/>
    </row>
    <row r="66" spans="1:84" x14ac:dyDescent="0.35">
      <c r="A66" s="42" t="s">
        <v>136</v>
      </c>
      <c r="B66" s="61">
        <v>44225</v>
      </c>
      <c r="C66" s="61">
        <v>44225</v>
      </c>
      <c r="D66" s="39">
        <v>161</v>
      </c>
      <c r="E66" s="64">
        <v>525.21</v>
      </c>
      <c r="F66" s="64">
        <v>1713.83</v>
      </c>
      <c r="G66" s="64">
        <v>781.04</v>
      </c>
      <c r="H66" s="64">
        <v>858.78</v>
      </c>
      <c r="I66" s="64">
        <v>115.98</v>
      </c>
      <c r="J66" s="64">
        <v>3674.29</v>
      </c>
      <c r="K66" s="64">
        <v>0</v>
      </c>
      <c r="L66" s="39">
        <v>617</v>
      </c>
      <c r="M66" s="64">
        <v>0</v>
      </c>
      <c r="N66" s="64">
        <v>3789.71</v>
      </c>
      <c r="O66" s="39">
        <v>0</v>
      </c>
      <c r="P66" s="64">
        <v>0</v>
      </c>
      <c r="Q66" s="39">
        <v>7</v>
      </c>
      <c r="R66" s="64">
        <v>1.46</v>
      </c>
      <c r="S66" s="39">
        <v>40</v>
      </c>
      <c r="T66" s="64">
        <v>75.05</v>
      </c>
      <c r="U66" s="64">
        <v>38.909999999999997</v>
      </c>
      <c r="V66" s="39">
        <v>1</v>
      </c>
      <c r="W66" s="64">
        <v>20</v>
      </c>
      <c r="X66" s="39">
        <v>13</v>
      </c>
      <c r="Y66" s="64">
        <v>0</v>
      </c>
      <c r="Z66" s="39">
        <v>87</v>
      </c>
      <c r="AA66" s="64">
        <v>261.17</v>
      </c>
      <c r="AB66" s="39">
        <v>10</v>
      </c>
      <c r="AC66" s="64">
        <v>19.149999999999999</v>
      </c>
      <c r="AD66" s="39">
        <v>5</v>
      </c>
      <c r="AE66" s="64">
        <v>22.23</v>
      </c>
      <c r="AF66" s="64">
        <v>0</v>
      </c>
      <c r="AG66" s="64">
        <v>0</v>
      </c>
      <c r="AH66" s="64">
        <v>0</v>
      </c>
      <c r="AI66" s="64">
        <v>0</v>
      </c>
      <c r="AJ66" s="64">
        <v>294.2</v>
      </c>
      <c r="AK66" s="39"/>
      <c r="AL66" s="64">
        <v>3674.29</v>
      </c>
      <c r="AM66" s="64">
        <v>0</v>
      </c>
      <c r="AN66" s="64">
        <v>530</v>
      </c>
      <c r="AO66" s="64">
        <v>0</v>
      </c>
      <c r="AP66" s="64">
        <v>-19.25</v>
      </c>
      <c r="AQ66" s="39">
        <v>80</v>
      </c>
      <c r="AR66" s="64">
        <v>562.54999999999995</v>
      </c>
      <c r="AS66" s="39">
        <v>274</v>
      </c>
      <c r="AT66" s="64">
        <v>2010.02</v>
      </c>
      <c r="AU66" s="39">
        <v>19</v>
      </c>
      <c r="AV66" s="64">
        <v>128.63</v>
      </c>
      <c r="AW66" s="39">
        <v>8</v>
      </c>
      <c r="AX66" s="64">
        <v>70.540000000000006</v>
      </c>
      <c r="AY66" s="39">
        <v>51</v>
      </c>
      <c r="AZ66" s="64">
        <v>247.11</v>
      </c>
      <c r="BA66" s="39">
        <v>2</v>
      </c>
      <c r="BB66" s="64">
        <v>19.690000000000001</v>
      </c>
      <c r="BC66" s="39">
        <v>2</v>
      </c>
      <c r="BD66" s="64">
        <v>16.34</v>
      </c>
      <c r="BE66" s="39">
        <v>12</v>
      </c>
      <c r="BF66" s="64">
        <v>84.07</v>
      </c>
      <c r="BG66" s="39">
        <v>4</v>
      </c>
      <c r="BH66" s="64">
        <v>36.75</v>
      </c>
      <c r="BI66" s="39"/>
      <c r="BJ66" s="39"/>
      <c r="BK66" s="39">
        <v>19</v>
      </c>
      <c r="BL66" s="64">
        <v>147.68</v>
      </c>
      <c r="BM66" s="39">
        <v>2</v>
      </c>
      <c r="BN66" s="64">
        <v>27.33</v>
      </c>
      <c r="BO66" s="64">
        <v>25.3</v>
      </c>
      <c r="BP66" s="39">
        <v>1</v>
      </c>
      <c r="BQ66" s="64">
        <v>9.6999999999999993</v>
      </c>
      <c r="BR66" s="64">
        <v>8.98</v>
      </c>
      <c r="BS66" s="39"/>
      <c r="BT66" s="39"/>
      <c r="BU66" s="39"/>
      <c r="BV66" s="39"/>
      <c r="BW66" s="39"/>
      <c r="BX66" s="39"/>
      <c r="BY66" s="39"/>
      <c r="BZ66" s="39"/>
      <c r="CA66" s="39">
        <v>8</v>
      </c>
      <c r="CB66" s="64">
        <v>78.83</v>
      </c>
      <c r="CC66" s="39"/>
      <c r="CD66" s="39"/>
      <c r="CE66" s="39"/>
      <c r="CF66" s="44"/>
    </row>
    <row r="67" spans="1:84" x14ac:dyDescent="0.35">
      <c r="A67" s="42">
        <v>355439</v>
      </c>
      <c r="B67" s="61">
        <v>44225</v>
      </c>
      <c r="C67" s="61">
        <v>44225</v>
      </c>
      <c r="D67" s="39">
        <f>D65+D66</f>
        <v>161</v>
      </c>
      <c r="E67" s="39">
        <f t="shared" ref="E67:BP67" si="16">E65+E66</f>
        <v>525.21</v>
      </c>
      <c r="F67" s="39">
        <f t="shared" si="16"/>
        <v>1753.6399999999999</v>
      </c>
      <c r="G67" s="39">
        <f t="shared" si="16"/>
        <v>772.31999999999994</v>
      </c>
      <c r="H67" s="39">
        <f t="shared" si="16"/>
        <v>874.5</v>
      </c>
      <c r="I67" s="39">
        <f t="shared" si="16"/>
        <v>118.27000000000001</v>
      </c>
      <c r="J67" s="39">
        <f t="shared" si="16"/>
        <v>3728.41</v>
      </c>
      <c r="K67" s="39">
        <f t="shared" si="16"/>
        <v>0</v>
      </c>
      <c r="L67" s="39">
        <f t="shared" si="16"/>
        <v>649</v>
      </c>
      <c r="M67" s="39">
        <f t="shared" si="16"/>
        <v>0</v>
      </c>
      <c r="N67" s="39">
        <f t="shared" si="16"/>
        <v>3845.39</v>
      </c>
      <c r="O67" s="39">
        <f t="shared" si="16"/>
        <v>6</v>
      </c>
      <c r="P67" s="39">
        <f t="shared" si="16"/>
        <v>29.76</v>
      </c>
      <c r="Q67" s="39">
        <f t="shared" si="16"/>
        <v>7</v>
      </c>
      <c r="R67" s="39">
        <f t="shared" si="16"/>
        <v>1.46</v>
      </c>
      <c r="S67" s="39">
        <f t="shared" si="16"/>
        <v>40</v>
      </c>
      <c r="T67" s="39">
        <f t="shared" si="16"/>
        <v>75.05</v>
      </c>
      <c r="U67" s="39">
        <f t="shared" si="16"/>
        <v>38.909999999999997</v>
      </c>
      <c r="V67" s="39">
        <f t="shared" si="16"/>
        <v>1</v>
      </c>
      <c r="W67" s="39">
        <f t="shared" si="16"/>
        <v>20</v>
      </c>
      <c r="X67" s="39">
        <f t="shared" si="16"/>
        <v>13</v>
      </c>
      <c r="Y67" s="39">
        <f t="shared" si="16"/>
        <v>0</v>
      </c>
      <c r="Z67" s="39">
        <f t="shared" si="16"/>
        <v>93</v>
      </c>
      <c r="AA67" s="39">
        <f t="shared" si="16"/>
        <v>271.13</v>
      </c>
      <c r="AB67" s="39">
        <f t="shared" si="16"/>
        <v>30</v>
      </c>
      <c r="AC67" s="39">
        <f t="shared" si="16"/>
        <v>65.150000000000006</v>
      </c>
      <c r="AD67" s="39">
        <f t="shared" si="16"/>
        <v>30</v>
      </c>
      <c r="AE67" s="39">
        <f t="shared" si="16"/>
        <v>44.24</v>
      </c>
      <c r="AF67" s="39">
        <f t="shared" si="16"/>
        <v>0</v>
      </c>
      <c r="AG67" s="39">
        <f t="shared" si="16"/>
        <v>0</v>
      </c>
      <c r="AH67" s="39">
        <f t="shared" si="16"/>
        <v>0</v>
      </c>
      <c r="AI67" s="39">
        <f t="shared" si="16"/>
        <v>0</v>
      </c>
      <c r="AJ67" s="39">
        <f t="shared" si="16"/>
        <v>298.57</v>
      </c>
      <c r="AK67" s="39">
        <f t="shared" si="16"/>
        <v>0</v>
      </c>
      <c r="AL67" s="39">
        <f t="shared" si="16"/>
        <v>3674.29</v>
      </c>
      <c r="AM67" s="39">
        <f t="shared" si="16"/>
        <v>0</v>
      </c>
      <c r="AN67" s="39">
        <f t="shared" si="16"/>
        <v>538.94000000000005</v>
      </c>
      <c r="AO67" s="39">
        <f t="shared" si="16"/>
        <v>0</v>
      </c>
      <c r="AP67" s="39">
        <f t="shared" si="16"/>
        <v>-3.3500000000000014</v>
      </c>
      <c r="AQ67" s="39">
        <f t="shared" si="16"/>
        <v>85</v>
      </c>
      <c r="AR67" s="39">
        <f t="shared" si="16"/>
        <v>580.9799999999999</v>
      </c>
      <c r="AS67" s="39">
        <f t="shared" si="16"/>
        <v>282</v>
      </c>
      <c r="AT67" s="39">
        <f t="shared" si="16"/>
        <v>2038.77</v>
      </c>
      <c r="AU67" s="39">
        <f t="shared" si="16"/>
        <v>19</v>
      </c>
      <c r="AV67" s="39">
        <f t="shared" si="16"/>
        <v>132.07999999999998</v>
      </c>
      <c r="AW67" s="39">
        <f t="shared" si="16"/>
        <v>8</v>
      </c>
      <c r="AX67" s="39">
        <f t="shared" si="16"/>
        <v>70.540000000000006</v>
      </c>
      <c r="AY67" s="39">
        <f t="shared" si="16"/>
        <v>53</v>
      </c>
      <c r="AZ67" s="39">
        <f t="shared" si="16"/>
        <v>261.93</v>
      </c>
      <c r="BA67" s="39">
        <f t="shared" si="16"/>
        <v>2</v>
      </c>
      <c r="BB67" s="39">
        <f t="shared" si="16"/>
        <v>19.690000000000001</v>
      </c>
      <c r="BC67" s="39">
        <f t="shared" si="16"/>
        <v>2</v>
      </c>
      <c r="BD67" s="39">
        <f t="shared" si="16"/>
        <v>16.34</v>
      </c>
      <c r="BE67" s="39">
        <f t="shared" si="16"/>
        <v>12</v>
      </c>
      <c r="BF67" s="39">
        <f t="shared" si="16"/>
        <v>84.07</v>
      </c>
      <c r="BG67" s="39">
        <f t="shared" si="16"/>
        <v>4</v>
      </c>
      <c r="BH67" s="39">
        <f t="shared" si="16"/>
        <v>36.75</v>
      </c>
      <c r="BI67" s="39">
        <f t="shared" si="16"/>
        <v>0</v>
      </c>
      <c r="BJ67" s="39">
        <f t="shared" si="16"/>
        <v>0</v>
      </c>
      <c r="BK67" s="39">
        <f t="shared" si="16"/>
        <v>19</v>
      </c>
      <c r="BL67" s="39">
        <f t="shared" si="16"/>
        <v>147.68</v>
      </c>
      <c r="BM67" s="39">
        <f t="shared" si="16"/>
        <v>2</v>
      </c>
      <c r="BN67" s="39">
        <f t="shared" si="16"/>
        <v>27.33</v>
      </c>
      <c r="BO67" s="39">
        <f t="shared" si="16"/>
        <v>25.3</v>
      </c>
      <c r="BP67" s="39">
        <f t="shared" si="16"/>
        <v>1</v>
      </c>
      <c r="BQ67" s="39">
        <f t="shared" ref="BQ67:CF67" si="17">BQ65+BQ66</f>
        <v>9.6999999999999993</v>
      </c>
      <c r="BR67" s="39">
        <f t="shared" si="17"/>
        <v>8.98</v>
      </c>
      <c r="BS67" s="39">
        <f t="shared" si="17"/>
        <v>54.12</v>
      </c>
      <c r="BT67" s="39">
        <f t="shared" si="17"/>
        <v>0</v>
      </c>
      <c r="BU67" s="39">
        <f t="shared" si="17"/>
        <v>0</v>
      </c>
      <c r="BV67" s="39">
        <f t="shared" si="17"/>
        <v>0</v>
      </c>
      <c r="BW67" s="39">
        <f t="shared" si="17"/>
        <v>0</v>
      </c>
      <c r="BX67" s="39">
        <f t="shared" si="17"/>
        <v>0</v>
      </c>
      <c r="BY67" s="39">
        <f t="shared" si="17"/>
        <v>0</v>
      </c>
      <c r="BZ67" s="39">
        <f t="shared" si="17"/>
        <v>0</v>
      </c>
      <c r="CA67" s="39">
        <f t="shared" si="17"/>
        <v>8</v>
      </c>
      <c r="CB67" s="39">
        <f t="shared" si="17"/>
        <v>78.83</v>
      </c>
      <c r="CC67" s="39">
        <f t="shared" si="17"/>
        <v>0</v>
      </c>
      <c r="CD67" s="39">
        <f t="shared" si="17"/>
        <v>0</v>
      </c>
      <c r="CE67" s="39">
        <f t="shared" si="17"/>
        <v>0</v>
      </c>
      <c r="CF67" s="39">
        <f t="shared" si="17"/>
        <v>0</v>
      </c>
    </row>
    <row r="68" spans="1:84" x14ac:dyDescent="0.35">
      <c r="A68" s="42"/>
      <c r="B68" s="61"/>
      <c r="C68" s="61"/>
      <c r="D68" s="39"/>
      <c r="E68" s="64"/>
      <c r="F68" s="64"/>
      <c r="G68" s="64"/>
      <c r="H68" s="64"/>
      <c r="I68" s="64"/>
      <c r="J68" s="64"/>
      <c r="K68" s="64"/>
      <c r="L68" s="39"/>
      <c r="M68" s="64"/>
      <c r="N68" s="64"/>
      <c r="O68" s="39"/>
      <c r="P68" s="64"/>
      <c r="Q68" s="39"/>
      <c r="R68" s="64"/>
      <c r="S68" s="39"/>
      <c r="T68" s="64"/>
      <c r="U68" s="64"/>
      <c r="V68" s="39"/>
      <c r="W68" s="64"/>
      <c r="X68" s="39"/>
      <c r="Y68" s="64"/>
      <c r="Z68" s="39"/>
      <c r="AA68" s="64"/>
      <c r="AB68" s="39"/>
      <c r="AC68" s="64"/>
      <c r="AD68" s="39"/>
      <c r="AE68" s="64"/>
      <c r="AF68" s="64"/>
      <c r="AG68" s="64"/>
      <c r="AH68" s="64"/>
      <c r="AI68" s="64"/>
      <c r="AJ68" s="64"/>
      <c r="AK68" s="39"/>
      <c r="AL68" s="64"/>
      <c r="AM68" s="64"/>
      <c r="AN68" s="64"/>
      <c r="AO68" s="64"/>
      <c r="AP68" s="64"/>
      <c r="AQ68" s="39"/>
      <c r="AR68" s="64"/>
      <c r="AS68" s="39"/>
      <c r="AT68" s="64"/>
      <c r="AU68" s="39"/>
      <c r="AV68" s="64"/>
      <c r="AW68" s="39"/>
      <c r="AX68" s="64"/>
      <c r="AY68" s="39"/>
      <c r="AZ68" s="64"/>
      <c r="BA68" s="39"/>
      <c r="BB68" s="64"/>
      <c r="BC68" s="39"/>
      <c r="BD68" s="64"/>
      <c r="BE68" s="39"/>
      <c r="BF68" s="64"/>
      <c r="BG68" s="39"/>
      <c r="BH68" s="64"/>
      <c r="BI68" s="39"/>
      <c r="BJ68" s="39"/>
      <c r="BK68" s="39"/>
      <c r="BL68" s="64"/>
      <c r="BM68" s="39"/>
      <c r="BN68" s="64"/>
      <c r="BO68" s="64"/>
      <c r="BP68" s="39"/>
      <c r="BQ68" s="64"/>
      <c r="BR68" s="64"/>
      <c r="BS68" s="39"/>
      <c r="BT68" s="39"/>
      <c r="BU68" s="39"/>
      <c r="BV68" s="39"/>
      <c r="BW68" s="39"/>
      <c r="BX68" s="39"/>
      <c r="BY68" s="39"/>
      <c r="BZ68" s="39"/>
      <c r="CA68" s="39"/>
      <c r="CB68" s="64"/>
      <c r="CC68" s="39"/>
      <c r="CD68" s="39"/>
      <c r="CE68" s="39"/>
      <c r="CF68" s="44"/>
    </row>
    <row r="69" spans="1:84" x14ac:dyDescent="0.35">
      <c r="A69" s="40" t="s">
        <v>139</v>
      </c>
      <c r="B69" s="62">
        <v>44226</v>
      </c>
      <c r="C69" s="62">
        <v>44226</v>
      </c>
      <c r="D69" s="41">
        <v>201</v>
      </c>
      <c r="E69" s="41">
        <v>730.69</v>
      </c>
      <c r="F69" s="41">
        <v>2190.4599999999996</v>
      </c>
      <c r="G69" s="41">
        <v>779.97</v>
      </c>
      <c r="H69" s="41">
        <v>1031.6400000000001</v>
      </c>
      <c r="I69" s="41">
        <v>178.18</v>
      </c>
      <c r="J69" s="41">
        <v>4453.49</v>
      </c>
      <c r="K69" s="41"/>
      <c r="L69" s="41">
        <v>674</v>
      </c>
      <c r="M69" s="41"/>
      <c r="N69" s="41">
        <v>4569.0599999999995</v>
      </c>
      <c r="O69" s="41">
        <v>11</v>
      </c>
      <c r="P69" s="41">
        <v>21.18</v>
      </c>
      <c r="Q69" s="41"/>
      <c r="R69" s="41"/>
      <c r="S69" s="41"/>
      <c r="T69" s="41"/>
      <c r="U69" s="41"/>
      <c r="V69" s="41">
        <v>1</v>
      </c>
      <c r="W69" s="41">
        <v>5</v>
      </c>
      <c r="X69" s="41">
        <v>0</v>
      </c>
      <c r="Y69" s="41">
        <v>0</v>
      </c>
      <c r="Z69" s="41">
        <v>183</v>
      </c>
      <c r="AA69" s="41">
        <v>8336.76</v>
      </c>
      <c r="AB69" s="41">
        <v>32</v>
      </c>
      <c r="AC69" s="41">
        <v>199.16</v>
      </c>
      <c r="AD69" s="41">
        <v>100</v>
      </c>
      <c r="AE69" s="41">
        <v>146.87</v>
      </c>
      <c r="AF69" s="41"/>
      <c r="AG69" s="41"/>
      <c r="AH69" s="41">
        <v>0</v>
      </c>
      <c r="AI69" s="41"/>
      <c r="AJ69" s="41">
        <v>356.49</v>
      </c>
      <c r="AK69" s="41"/>
      <c r="AL69" s="41"/>
      <c r="AM69" s="41"/>
      <c r="AN69" s="41">
        <v>8.94</v>
      </c>
      <c r="AO69" s="41">
        <v>0</v>
      </c>
      <c r="AP69" s="41">
        <v>-718.31</v>
      </c>
      <c r="AQ69" s="41">
        <v>97</v>
      </c>
      <c r="AR69" s="41">
        <v>678.48</v>
      </c>
      <c r="AS69" s="41">
        <v>309</v>
      </c>
      <c r="AT69" s="41">
        <v>2366.44</v>
      </c>
      <c r="AU69" s="41">
        <v>30</v>
      </c>
      <c r="AV69" s="41">
        <v>290.2</v>
      </c>
      <c r="AW69" s="41">
        <v>13</v>
      </c>
      <c r="AX69" s="41">
        <v>118.16</v>
      </c>
      <c r="AY69" s="41">
        <v>67</v>
      </c>
      <c r="AZ69" s="41">
        <v>390.15</v>
      </c>
      <c r="BA69" s="41"/>
      <c r="BB69" s="41"/>
      <c r="BC69" s="41"/>
      <c r="BD69" s="41"/>
      <c r="BE69" s="41"/>
      <c r="BF69" s="41"/>
      <c r="BG69" s="41"/>
      <c r="BH69" s="41"/>
      <c r="BI69" s="41"/>
      <c r="BJ69" s="41"/>
      <c r="BK69" s="41"/>
      <c r="BL69" s="41"/>
      <c r="BM69" s="41"/>
      <c r="BN69" s="41"/>
      <c r="BO69" s="41"/>
      <c r="BP69" s="41">
        <v>2</v>
      </c>
      <c r="BQ69" s="41">
        <v>16.7</v>
      </c>
      <c r="BR69" s="41">
        <v>15.46</v>
      </c>
      <c r="BS69" s="41">
        <v>4453.49</v>
      </c>
      <c r="BT69" s="41"/>
      <c r="BU69" s="41"/>
      <c r="BV69" s="41">
        <v>0</v>
      </c>
      <c r="BW69" s="41">
        <v>0</v>
      </c>
      <c r="BX69" s="41"/>
      <c r="BY69" s="41"/>
      <c r="BZ69" s="41"/>
      <c r="CA69" s="41">
        <v>14</v>
      </c>
      <c r="CB69" s="41">
        <v>193.28</v>
      </c>
      <c r="CC69" s="41">
        <v>1</v>
      </c>
      <c r="CD69" s="41">
        <v>27.55</v>
      </c>
      <c r="CE69" s="41"/>
      <c r="CF69" s="43"/>
    </row>
    <row r="70" spans="1:84" x14ac:dyDescent="0.35">
      <c r="A70" s="40" t="s">
        <v>136</v>
      </c>
      <c r="B70" s="62">
        <v>44226</v>
      </c>
      <c r="C70" s="62">
        <v>44226</v>
      </c>
      <c r="D70" s="41">
        <v>44</v>
      </c>
      <c r="E70" s="63">
        <v>144.1</v>
      </c>
      <c r="F70" s="63">
        <v>387.63</v>
      </c>
      <c r="G70" s="63">
        <v>150.63</v>
      </c>
      <c r="H70" s="63">
        <v>73.72</v>
      </c>
      <c r="I70" s="63">
        <v>14.33</v>
      </c>
      <c r="J70" s="63">
        <v>671.31</v>
      </c>
      <c r="K70" s="63">
        <v>0</v>
      </c>
      <c r="L70" s="41">
        <v>141</v>
      </c>
      <c r="M70" s="63">
        <v>0</v>
      </c>
      <c r="N70" s="63">
        <v>736.26</v>
      </c>
      <c r="O70" s="41">
        <v>1</v>
      </c>
      <c r="P70" s="63">
        <v>18.98</v>
      </c>
      <c r="Q70" s="41">
        <v>0</v>
      </c>
      <c r="R70" s="63">
        <v>0</v>
      </c>
      <c r="S70" s="41">
        <v>20</v>
      </c>
      <c r="T70" s="63">
        <v>40.270000000000003</v>
      </c>
      <c r="U70" s="63">
        <v>5.7</v>
      </c>
      <c r="V70" s="41">
        <v>0</v>
      </c>
      <c r="W70" s="63">
        <v>0</v>
      </c>
      <c r="X70" s="41">
        <v>1</v>
      </c>
      <c r="Y70" s="63">
        <v>0</v>
      </c>
      <c r="Z70" s="41">
        <v>25</v>
      </c>
      <c r="AA70" s="63">
        <v>64.459999999999994</v>
      </c>
      <c r="AB70" s="41">
        <v>5</v>
      </c>
      <c r="AC70" s="63">
        <v>14.15</v>
      </c>
      <c r="AD70" s="41">
        <v>2</v>
      </c>
      <c r="AE70" s="63">
        <v>0</v>
      </c>
      <c r="AF70" s="63">
        <v>0</v>
      </c>
      <c r="AG70" s="63">
        <v>0</v>
      </c>
      <c r="AH70" s="63">
        <v>0</v>
      </c>
      <c r="AI70" s="63">
        <v>0</v>
      </c>
      <c r="AJ70" s="63">
        <v>0</v>
      </c>
      <c r="AK70" s="41"/>
      <c r="AL70" s="63">
        <v>671.31</v>
      </c>
      <c r="AM70" s="63">
        <v>0</v>
      </c>
      <c r="AN70" s="63">
        <v>0</v>
      </c>
      <c r="AO70" s="63">
        <v>0</v>
      </c>
      <c r="AP70" s="63">
        <v>0</v>
      </c>
      <c r="AQ70" s="41">
        <v>20</v>
      </c>
      <c r="AR70" s="63">
        <v>110.85</v>
      </c>
      <c r="AS70" s="41">
        <v>65</v>
      </c>
      <c r="AT70" s="63">
        <v>338.15</v>
      </c>
      <c r="AU70" s="41">
        <v>10</v>
      </c>
      <c r="AV70" s="63">
        <v>52.36</v>
      </c>
      <c r="AW70" s="41">
        <v>1</v>
      </c>
      <c r="AX70" s="63">
        <v>4.41</v>
      </c>
      <c r="AY70" s="41">
        <v>12</v>
      </c>
      <c r="AZ70" s="63">
        <v>58.98</v>
      </c>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3"/>
    </row>
    <row r="71" spans="1:84" x14ac:dyDescent="0.35">
      <c r="A71" s="40">
        <v>355439</v>
      </c>
      <c r="B71" s="62">
        <v>44226</v>
      </c>
      <c r="C71" s="62">
        <v>44226</v>
      </c>
      <c r="D71">
        <f>D69+D70</f>
        <v>245</v>
      </c>
      <c r="E71">
        <f t="shared" ref="E71:BP71" si="18">E69+E70</f>
        <v>874.79000000000008</v>
      </c>
      <c r="F71">
        <f t="shared" si="18"/>
        <v>2578.0899999999997</v>
      </c>
      <c r="G71">
        <f t="shared" si="18"/>
        <v>930.6</v>
      </c>
      <c r="H71">
        <f t="shared" si="18"/>
        <v>1105.3600000000001</v>
      </c>
      <c r="I71">
        <f t="shared" si="18"/>
        <v>192.51000000000002</v>
      </c>
      <c r="J71">
        <f t="shared" si="18"/>
        <v>5124.7999999999993</v>
      </c>
      <c r="K71">
        <f t="shared" si="18"/>
        <v>0</v>
      </c>
      <c r="L71">
        <f t="shared" si="18"/>
        <v>815</v>
      </c>
      <c r="M71">
        <f t="shared" si="18"/>
        <v>0</v>
      </c>
      <c r="N71">
        <f t="shared" si="18"/>
        <v>5305.32</v>
      </c>
      <c r="O71">
        <f t="shared" si="18"/>
        <v>12</v>
      </c>
      <c r="P71">
        <f t="shared" si="18"/>
        <v>40.159999999999997</v>
      </c>
      <c r="Q71">
        <f t="shared" si="18"/>
        <v>0</v>
      </c>
      <c r="R71">
        <f t="shared" si="18"/>
        <v>0</v>
      </c>
      <c r="S71">
        <f t="shared" si="18"/>
        <v>20</v>
      </c>
      <c r="T71">
        <f t="shared" si="18"/>
        <v>40.270000000000003</v>
      </c>
      <c r="U71">
        <f t="shared" si="18"/>
        <v>5.7</v>
      </c>
      <c r="V71">
        <f t="shared" si="18"/>
        <v>1</v>
      </c>
      <c r="W71">
        <f t="shared" si="18"/>
        <v>5</v>
      </c>
      <c r="X71">
        <f t="shared" si="18"/>
        <v>1</v>
      </c>
      <c r="Y71">
        <f t="shared" si="18"/>
        <v>0</v>
      </c>
      <c r="Z71">
        <f t="shared" si="18"/>
        <v>208</v>
      </c>
      <c r="AA71">
        <f t="shared" si="18"/>
        <v>8401.2199999999993</v>
      </c>
      <c r="AB71">
        <f t="shared" si="18"/>
        <v>37</v>
      </c>
      <c r="AC71">
        <f t="shared" si="18"/>
        <v>213.31</v>
      </c>
      <c r="AD71">
        <f t="shared" si="18"/>
        <v>102</v>
      </c>
      <c r="AE71">
        <f t="shared" si="18"/>
        <v>146.87</v>
      </c>
      <c r="AF71">
        <f t="shared" si="18"/>
        <v>0</v>
      </c>
      <c r="AG71">
        <f t="shared" si="18"/>
        <v>0</v>
      </c>
      <c r="AH71">
        <f t="shared" si="18"/>
        <v>0</v>
      </c>
      <c r="AI71">
        <f t="shared" si="18"/>
        <v>0</v>
      </c>
      <c r="AJ71">
        <f t="shared" si="18"/>
        <v>356.49</v>
      </c>
      <c r="AK71">
        <f t="shared" si="18"/>
        <v>0</v>
      </c>
      <c r="AL71">
        <f t="shared" si="18"/>
        <v>671.31</v>
      </c>
      <c r="AM71">
        <f t="shared" si="18"/>
        <v>0</v>
      </c>
      <c r="AN71">
        <f t="shared" si="18"/>
        <v>8.94</v>
      </c>
      <c r="AO71">
        <f t="shared" si="18"/>
        <v>0</v>
      </c>
      <c r="AP71">
        <f t="shared" si="18"/>
        <v>-718.31</v>
      </c>
      <c r="AQ71">
        <f t="shared" si="18"/>
        <v>117</v>
      </c>
      <c r="AR71">
        <f t="shared" si="18"/>
        <v>789.33</v>
      </c>
      <c r="AS71">
        <f t="shared" si="18"/>
        <v>374</v>
      </c>
      <c r="AT71">
        <f t="shared" si="18"/>
        <v>2704.59</v>
      </c>
      <c r="AU71">
        <f t="shared" si="18"/>
        <v>40</v>
      </c>
      <c r="AV71">
        <f t="shared" si="18"/>
        <v>342.56</v>
      </c>
      <c r="AW71">
        <f t="shared" si="18"/>
        <v>14</v>
      </c>
      <c r="AX71">
        <f t="shared" si="18"/>
        <v>122.57</v>
      </c>
      <c r="AY71">
        <f t="shared" si="18"/>
        <v>79</v>
      </c>
      <c r="AZ71">
        <f t="shared" si="18"/>
        <v>449.13</v>
      </c>
      <c r="BA71">
        <f t="shared" si="18"/>
        <v>0</v>
      </c>
      <c r="BB71">
        <f t="shared" si="18"/>
        <v>0</v>
      </c>
      <c r="BC71">
        <f t="shared" si="18"/>
        <v>0</v>
      </c>
      <c r="BD71">
        <f t="shared" si="18"/>
        <v>0</v>
      </c>
      <c r="BE71">
        <f t="shared" si="18"/>
        <v>0</v>
      </c>
      <c r="BF71">
        <f t="shared" si="18"/>
        <v>0</v>
      </c>
      <c r="BG71">
        <f t="shared" si="18"/>
        <v>0</v>
      </c>
      <c r="BH71">
        <f t="shared" si="18"/>
        <v>0</v>
      </c>
      <c r="BI71">
        <f t="shared" si="18"/>
        <v>0</v>
      </c>
      <c r="BJ71">
        <f t="shared" si="18"/>
        <v>0</v>
      </c>
      <c r="BK71">
        <f t="shared" si="18"/>
        <v>0</v>
      </c>
      <c r="BL71">
        <f t="shared" si="18"/>
        <v>0</v>
      </c>
      <c r="BM71">
        <f t="shared" si="18"/>
        <v>0</v>
      </c>
      <c r="BN71">
        <f t="shared" si="18"/>
        <v>0</v>
      </c>
      <c r="BO71">
        <f t="shared" si="18"/>
        <v>0</v>
      </c>
      <c r="BP71">
        <f t="shared" si="18"/>
        <v>2</v>
      </c>
      <c r="BQ71">
        <f t="shared" ref="BQ71:CF71" si="19">BQ69+BQ70</f>
        <v>16.7</v>
      </c>
      <c r="BR71">
        <f t="shared" si="19"/>
        <v>15.46</v>
      </c>
      <c r="BS71">
        <f t="shared" si="19"/>
        <v>4453.49</v>
      </c>
      <c r="BT71">
        <f t="shared" si="19"/>
        <v>0</v>
      </c>
      <c r="BU71">
        <f t="shared" si="19"/>
        <v>0</v>
      </c>
      <c r="BV71">
        <f t="shared" si="19"/>
        <v>0</v>
      </c>
      <c r="BW71">
        <f t="shared" si="19"/>
        <v>0</v>
      </c>
      <c r="BX71">
        <f t="shared" si="19"/>
        <v>0</v>
      </c>
      <c r="BY71">
        <f t="shared" si="19"/>
        <v>0</v>
      </c>
      <c r="BZ71">
        <f t="shared" si="19"/>
        <v>0</v>
      </c>
      <c r="CA71">
        <f t="shared" si="19"/>
        <v>14</v>
      </c>
      <c r="CB71">
        <f t="shared" si="19"/>
        <v>193.28</v>
      </c>
      <c r="CC71">
        <f t="shared" si="19"/>
        <v>1</v>
      </c>
      <c r="CD71">
        <f t="shared" si="19"/>
        <v>27.55</v>
      </c>
      <c r="CE71">
        <f t="shared" si="19"/>
        <v>0</v>
      </c>
      <c r="CF71">
        <f t="shared" si="19"/>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Filter Dunkin</vt:lpstr>
      <vt:lpstr>Filter Mix</vt:lpstr>
      <vt:lpstr>Crunch Mix</vt:lpstr>
      <vt:lpstr>RnA Dunkin</vt:lpstr>
      <vt:lpstr>Select Date Range</vt:lpstr>
      <vt:lpstr>POS</vt:lpstr>
      <vt:lpstr>Select Date Range-Donut</vt:lpstr>
      <vt:lpstr>Snapshot</vt:lpstr>
      <vt:lpstr>Refund_GC Report</vt:lpstr>
      <vt:lpstr>Store_Close Report</vt:lpstr>
      <vt:lpstr>Notes</vt:lpstr>
      <vt:lpstr>Merge data for store this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Paras</dc:creator>
  <cp:lastModifiedBy>MANSI</cp:lastModifiedBy>
  <dcterms:created xsi:type="dcterms:W3CDTF">2020-04-27T20:13:13Z</dcterms:created>
  <dcterms:modified xsi:type="dcterms:W3CDTF">2021-07-05T17:07:47Z</dcterms:modified>
</cp:coreProperties>
</file>